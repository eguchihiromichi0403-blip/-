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wa\株式会社ケイワ Dropbox\株式会社ケイワ\㈱ケイワ　社内フォルダ\"/>
    </mc:Choice>
  </mc:AlternateContent>
  <xr:revisionPtr revIDLastSave="0" documentId="13_ncr:1_{37F2CA8A-9534-4EB7-BC22-52909B311FD3}" xr6:coauthVersionLast="47" xr6:coauthVersionMax="47" xr10:uidLastSave="{00000000-0000-0000-0000-000000000000}"/>
  <bookViews>
    <workbookView xWindow="-120" yWindow="-120" windowWidth="29040" windowHeight="15720" xr2:uid="{1573BA75-529C-4194-9D93-CE7B5B1497E0}"/>
  </bookViews>
  <sheets>
    <sheet name="令和08年 " sheetId="5" r:id="rId1"/>
    <sheet name="令和07年" sheetId="1" r:id="rId2"/>
  </sheets>
  <definedNames>
    <definedName name="_xlnm._FilterDatabase" localSheetId="1" hidden="1">令和07年!$A$1:$K$1</definedName>
    <definedName name="_xlnm._FilterDatabase" localSheetId="0" hidden="1">'令和08年 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5" l="1"/>
  <c r="I82" i="5"/>
  <c r="H82" i="5" s="1"/>
  <c r="I43" i="5"/>
  <c r="H43" i="5" s="1"/>
  <c r="I50" i="5"/>
  <c r="H50" i="5" s="1"/>
  <c r="I77" i="5"/>
  <c r="I84" i="5"/>
  <c r="I74" i="5"/>
  <c r="I73" i="5"/>
  <c r="I72" i="5"/>
  <c r="I83" i="5"/>
  <c r="I76" i="5"/>
  <c r="I71" i="5"/>
  <c r="I70" i="5"/>
  <c r="I66" i="5"/>
  <c r="H66" i="5" s="1"/>
  <c r="I68" i="5"/>
  <c r="I65" i="5"/>
  <c r="I88" i="5"/>
  <c r="I67" i="5"/>
  <c r="I54" i="5"/>
  <c r="H54" i="5" s="1"/>
  <c r="I63" i="5"/>
  <c r="I62" i="5"/>
  <c r="I59" i="5"/>
  <c r="I55" i="5"/>
  <c r="I56" i="5"/>
  <c r="I53" i="5"/>
  <c r="I48" i="5"/>
  <c r="H48" i="5" s="1"/>
  <c r="I47" i="5"/>
  <c r="H47" i="5" s="1"/>
  <c r="I58" i="5"/>
  <c r="I18" i="5"/>
  <c r="H18" i="5" s="1"/>
  <c r="I7" i="5" l="1"/>
  <c r="H7" i="5" s="1"/>
  <c r="I10" i="5"/>
  <c r="H10" i="5" s="1"/>
  <c r="H11" i="5"/>
  <c r="I13" i="5"/>
  <c r="H13" i="5" s="1"/>
  <c r="I4" i="5"/>
  <c r="I2" i="5"/>
  <c r="H2" i="5" s="1"/>
  <c r="I5" i="5"/>
  <c r="H5" i="5" s="1"/>
  <c r="I8" i="5"/>
  <c r="H8" i="5" s="1"/>
  <c r="H9" i="5"/>
  <c r="I12" i="5"/>
  <c r="H12" i="5" s="1"/>
  <c r="I16" i="5"/>
  <c r="H16" i="5" s="1"/>
  <c r="I17" i="5"/>
  <c r="H17" i="5" s="1"/>
  <c r="I19" i="5"/>
  <c r="H19" i="5" s="1"/>
  <c r="I20" i="5"/>
  <c r="H20" i="5" s="1"/>
  <c r="I21" i="5"/>
  <c r="H21" i="5" s="1"/>
  <c r="I22" i="5"/>
  <c r="H22" i="5" s="1"/>
  <c r="I23" i="5"/>
  <c r="I24" i="5"/>
  <c r="I26" i="5"/>
  <c r="H26" i="5" s="1"/>
  <c r="I27" i="5"/>
  <c r="H27" i="5" s="1"/>
  <c r="I28" i="5"/>
  <c r="H28" i="5" s="1"/>
  <c r="I29" i="5"/>
  <c r="H29" i="5" s="1"/>
  <c r="I30" i="5"/>
  <c r="H30" i="5" s="1"/>
  <c r="I31" i="5"/>
  <c r="H31" i="5" s="1"/>
  <c r="I38" i="5"/>
  <c r="H38" i="5" s="1"/>
  <c r="I41" i="5"/>
  <c r="H41" i="5" s="1"/>
  <c r="I32" i="5"/>
  <c r="H32" i="5" s="1"/>
  <c r="I52" i="5"/>
  <c r="H52" i="5" s="1"/>
  <c r="I33" i="5"/>
  <c r="I36" i="5"/>
  <c r="H36" i="5" s="1"/>
  <c r="I39" i="5"/>
  <c r="H39" i="5" s="1"/>
  <c r="I85" i="5"/>
  <c r="H85" i="5" s="1"/>
  <c r="I49" i="5"/>
  <c r="H49" i="5" s="1"/>
  <c r="I35" i="5"/>
  <c r="H35" i="5" s="1"/>
  <c r="I37" i="5"/>
  <c r="H37" i="5" s="1"/>
  <c r="I46" i="5"/>
  <c r="H46" i="5" s="1"/>
  <c r="I40" i="5"/>
  <c r="H40" i="5" s="1"/>
  <c r="I44" i="5"/>
  <c r="H44" i="5" s="1"/>
  <c r="I42" i="5"/>
  <c r="H42" i="5" s="1"/>
  <c r="I51" i="5"/>
  <c r="H51" i="5" s="1"/>
  <c r="I60" i="5"/>
  <c r="H60" i="5" s="1"/>
  <c r="I61" i="5"/>
  <c r="H61" i="5" s="1"/>
  <c r="I87" i="5"/>
  <c r="H87" i="5" s="1"/>
  <c r="H6" i="5"/>
  <c r="I3" i="5"/>
  <c r="H3" i="5" s="1"/>
</calcChain>
</file>

<file path=xl/sharedStrings.xml><?xml version="1.0" encoding="utf-8"?>
<sst xmlns="http://schemas.openxmlformats.org/spreadsheetml/2006/main" count="720" uniqueCount="357">
  <si>
    <t>現場名</t>
    <rPh sb="0" eb="3">
      <t>ゲンバメイ</t>
    </rPh>
    <phoneticPr fontId="1"/>
  </si>
  <si>
    <t>着工日</t>
    <rPh sb="0" eb="3">
      <t>チャッコウビ</t>
    </rPh>
    <phoneticPr fontId="1"/>
  </si>
  <si>
    <t>工事期間</t>
    <rPh sb="0" eb="4">
      <t>コウジキカン</t>
    </rPh>
    <phoneticPr fontId="1"/>
  </si>
  <si>
    <t>完了日</t>
    <rPh sb="0" eb="3">
      <t>カンリョウビ</t>
    </rPh>
    <phoneticPr fontId="1"/>
  </si>
  <si>
    <t>鯉川筋ビル屋上防水工事</t>
    <rPh sb="0" eb="1">
      <t>コイ</t>
    </rPh>
    <rPh sb="1" eb="3">
      <t>カワスジ</t>
    </rPh>
    <rPh sb="5" eb="11">
      <t>オクジョウボウスイコウジ</t>
    </rPh>
    <phoneticPr fontId="1"/>
  </si>
  <si>
    <t>１０日</t>
    <rPh sb="2" eb="3">
      <t>ニチ</t>
    </rPh>
    <phoneticPr fontId="1"/>
  </si>
  <si>
    <t>浅野工業本社ビル屋上防水工事</t>
    <rPh sb="0" eb="4">
      <t>アサノコウギョウ</t>
    </rPh>
    <rPh sb="4" eb="6">
      <t>ホンシャ</t>
    </rPh>
    <rPh sb="8" eb="14">
      <t>オクジョウボウスイコウジ</t>
    </rPh>
    <phoneticPr fontId="1"/>
  </si>
  <si>
    <t>楠葉プロジェクト</t>
    <rPh sb="0" eb="2">
      <t>クズハ</t>
    </rPh>
    <phoneticPr fontId="1"/>
  </si>
  <si>
    <t>アサヒプラザアルティマタワーズ浴室防水工事</t>
    <rPh sb="15" eb="21">
      <t>ヨクシツボウスイコウジ</t>
    </rPh>
    <phoneticPr fontId="1"/>
  </si>
  <si>
    <t>石脇様邸屋上防水工事</t>
    <rPh sb="0" eb="4">
      <t>イシワキサマテイ</t>
    </rPh>
    <rPh sb="4" eb="10">
      <t>オクジョウボウスイコウジ</t>
    </rPh>
    <phoneticPr fontId="1"/>
  </si>
  <si>
    <t>渡邊様邸屋上防水工事</t>
    <rPh sb="0" eb="4">
      <t>ワタナベサマテイ</t>
    </rPh>
    <rPh sb="4" eb="10">
      <t>オクジョウボウスイコウジ</t>
    </rPh>
    <phoneticPr fontId="1"/>
  </si>
  <si>
    <t>上野様邸防水工事</t>
    <rPh sb="0" eb="4">
      <t>ウエノサマテイ</t>
    </rPh>
    <rPh sb="4" eb="8">
      <t>ボウスイコウジ</t>
    </rPh>
    <phoneticPr fontId="1"/>
  </si>
  <si>
    <t>並河様邸下地補修工事</t>
    <rPh sb="0" eb="1">
      <t>ナミ</t>
    </rPh>
    <rPh sb="2" eb="3">
      <t>サマ</t>
    </rPh>
    <rPh sb="3" eb="4">
      <t>テイ</t>
    </rPh>
    <rPh sb="4" eb="6">
      <t>シタジ</t>
    </rPh>
    <rPh sb="6" eb="8">
      <t>ホシュウ</t>
    </rPh>
    <rPh sb="8" eb="10">
      <t>コウジ</t>
    </rPh>
    <phoneticPr fontId="1"/>
  </si>
  <si>
    <t>ハイツウエストヒル階段工事</t>
    <rPh sb="9" eb="13">
      <t>カイダンコウジ</t>
    </rPh>
    <phoneticPr fontId="1"/>
  </si>
  <si>
    <t>ニューハイツ橋補修調査</t>
    <rPh sb="6" eb="7">
      <t>ハシ</t>
    </rPh>
    <rPh sb="7" eb="11">
      <t>ホシュウチョウサ</t>
    </rPh>
    <phoneticPr fontId="1"/>
  </si>
  <si>
    <t>梅新スクエア防水工事</t>
    <rPh sb="0" eb="2">
      <t>ウメシン</t>
    </rPh>
    <rPh sb="6" eb="10">
      <t>ボウスイコウジ</t>
    </rPh>
    <phoneticPr fontId="1"/>
  </si>
  <si>
    <t>典礼会館尼崎屋上防水</t>
    <rPh sb="0" eb="4">
      <t>テンレイカイカン</t>
    </rPh>
    <rPh sb="4" eb="6">
      <t>アマガサキ</t>
    </rPh>
    <rPh sb="6" eb="10">
      <t>オクジョウボウスイ</t>
    </rPh>
    <phoneticPr fontId="1"/>
  </si>
  <si>
    <t>35日</t>
    <rPh sb="2" eb="3">
      <t>ニチ</t>
    </rPh>
    <phoneticPr fontId="1"/>
  </si>
  <si>
    <t>新谷様邸防水工事</t>
    <rPh sb="0" eb="4">
      <t>シンタニサマテイ</t>
    </rPh>
    <rPh sb="4" eb="8">
      <t>ボウスイコウジ</t>
    </rPh>
    <phoneticPr fontId="1"/>
  </si>
  <si>
    <t>西別院ガバナー防水工事</t>
    <rPh sb="0" eb="3">
      <t>ニシベツイン</t>
    </rPh>
    <rPh sb="7" eb="11">
      <t>ボウスイコウジ</t>
    </rPh>
    <phoneticPr fontId="1"/>
  </si>
  <si>
    <t>20日</t>
    <rPh sb="2" eb="3">
      <t>ニチ</t>
    </rPh>
    <phoneticPr fontId="1"/>
  </si>
  <si>
    <t>Stmon屋上防水工事</t>
    <rPh sb="5" eb="7">
      <t>オクジョウ</t>
    </rPh>
    <rPh sb="7" eb="9">
      <t>ボウスイ</t>
    </rPh>
    <rPh sb="9" eb="11">
      <t>コウジ</t>
    </rPh>
    <phoneticPr fontId="1"/>
  </si>
  <si>
    <t>前田様邸防水工事</t>
    <rPh sb="0" eb="4">
      <t>マエダサマテイ</t>
    </rPh>
    <rPh sb="4" eb="8">
      <t>ボウスイコウジ</t>
    </rPh>
    <phoneticPr fontId="1"/>
  </si>
  <si>
    <t>高寺様邸防水工事</t>
    <rPh sb="0" eb="2">
      <t>タカテラ</t>
    </rPh>
    <rPh sb="2" eb="4">
      <t>サマテイ</t>
    </rPh>
    <rPh sb="4" eb="8">
      <t>ボウスイコウジ</t>
    </rPh>
    <phoneticPr fontId="1"/>
  </si>
  <si>
    <t>石見ハイツ第一</t>
    <rPh sb="0" eb="2">
      <t>イシミ</t>
    </rPh>
    <rPh sb="5" eb="7">
      <t>ダイイチ</t>
    </rPh>
    <phoneticPr fontId="1"/>
  </si>
  <si>
    <t>メープル御影改修工事</t>
    <rPh sb="4" eb="6">
      <t>ミカゲ</t>
    </rPh>
    <rPh sb="6" eb="10">
      <t>カイシュウコウジ</t>
    </rPh>
    <phoneticPr fontId="1"/>
  </si>
  <si>
    <t>岡崎様邸　　　　　追加工事有</t>
    <rPh sb="0" eb="4">
      <t>オカザキサマテイ</t>
    </rPh>
    <rPh sb="9" eb="14">
      <t>ツイカコウジアリ</t>
    </rPh>
    <phoneticPr fontId="1"/>
  </si>
  <si>
    <t>CLUB古賀４階改修工事</t>
    <rPh sb="4" eb="6">
      <t>コガ</t>
    </rPh>
    <rPh sb="7" eb="8">
      <t>カイ</t>
    </rPh>
    <rPh sb="8" eb="12">
      <t>カイシュウコウジ</t>
    </rPh>
    <phoneticPr fontId="1"/>
  </si>
  <si>
    <t>アベニュー岸里</t>
    <rPh sb="5" eb="7">
      <t>キシノサト</t>
    </rPh>
    <phoneticPr fontId="1"/>
  </si>
  <si>
    <t>アーバンパレス九条　補修工事　（10万円税別）</t>
    <rPh sb="7" eb="9">
      <t>クジョウ</t>
    </rPh>
    <rPh sb="10" eb="14">
      <t>ホシュウコウジ</t>
    </rPh>
    <rPh sb="18" eb="20">
      <t>マンエン</t>
    </rPh>
    <rPh sb="20" eb="22">
      <t>ゼイベツ</t>
    </rPh>
    <phoneticPr fontId="1"/>
  </si>
  <si>
    <t>紅梅町クリニック新築工事</t>
    <rPh sb="0" eb="1">
      <t>クレナイ</t>
    </rPh>
    <rPh sb="1" eb="3">
      <t>ウメマチ</t>
    </rPh>
    <rPh sb="8" eb="12">
      <t>シンチクコウジ</t>
    </rPh>
    <phoneticPr fontId="1"/>
  </si>
  <si>
    <t>90日</t>
    <rPh sb="2" eb="3">
      <t>ニチ</t>
    </rPh>
    <phoneticPr fontId="1"/>
  </si>
  <si>
    <t>関西医科大学</t>
    <rPh sb="0" eb="2">
      <t>カンサイ</t>
    </rPh>
    <rPh sb="2" eb="6">
      <t>イカダイガク</t>
    </rPh>
    <phoneticPr fontId="1"/>
  </si>
  <si>
    <t>25日</t>
    <rPh sb="2" eb="3">
      <t>ニチ</t>
    </rPh>
    <phoneticPr fontId="1"/>
  </si>
  <si>
    <t>パラドール伏見屋上防水工事</t>
    <rPh sb="5" eb="7">
      <t>フシミ</t>
    </rPh>
    <rPh sb="7" eb="13">
      <t>オクジョウボウスイコウジ</t>
    </rPh>
    <phoneticPr fontId="1"/>
  </si>
  <si>
    <t>15日</t>
    <rPh sb="2" eb="3">
      <t>ニチ</t>
    </rPh>
    <phoneticPr fontId="1"/>
  </si>
  <si>
    <t>ニューハイツ橋補修工事</t>
    <rPh sb="6" eb="7">
      <t>ハシ</t>
    </rPh>
    <rPh sb="7" eb="9">
      <t>ホシュウ</t>
    </rPh>
    <rPh sb="9" eb="11">
      <t>コウジ</t>
    </rPh>
    <phoneticPr fontId="1"/>
  </si>
  <si>
    <t>５日</t>
    <rPh sb="1" eb="2">
      <t>ニチ</t>
    </rPh>
    <phoneticPr fontId="1"/>
  </si>
  <si>
    <t>北國銀行　寺井支店新築工事</t>
    <rPh sb="0" eb="2">
      <t>キタグニ</t>
    </rPh>
    <rPh sb="2" eb="4">
      <t>ギンコウ</t>
    </rPh>
    <rPh sb="5" eb="9">
      <t>テライシテン</t>
    </rPh>
    <rPh sb="9" eb="13">
      <t>シンチクコウジ</t>
    </rPh>
    <phoneticPr fontId="1"/>
  </si>
  <si>
    <t>たちばな乳幼児保育園防水改修工事</t>
    <rPh sb="4" eb="10">
      <t>ニュウヨウジホイクエン</t>
    </rPh>
    <rPh sb="10" eb="12">
      <t>ボウスイ</t>
    </rPh>
    <rPh sb="12" eb="16">
      <t>カイシュウコウジ</t>
    </rPh>
    <phoneticPr fontId="1"/>
  </si>
  <si>
    <t>7日</t>
    <rPh sb="1" eb="2">
      <t>ニチ</t>
    </rPh>
    <phoneticPr fontId="1"/>
  </si>
  <si>
    <t>元請け名称</t>
    <rPh sb="0" eb="2">
      <t>モトウ</t>
    </rPh>
    <rPh sb="3" eb="5">
      <t>メイショウ</t>
    </rPh>
    <phoneticPr fontId="1"/>
  </si>
  <si>
    <t>エフテック</t>
    <phoneticPr fontId="1"/>
  </si>
  <si>
    <t>信建築</t>
    <rPh sb="0" eb="1">
      <t>シン</t>
    </rPh>
    <rPh sb="1" eb="3">
      <t>ケンチク</t>
    </rPh>
    <phoneticPr fontId="1"/>
  </si>
  <si>
    <t>ケースタイル</t>
    <phoneticPr fontId="1"/>
  </si>
  <si>
    <t>大雅総建</t>
    <rPh sb="0" eb="1">
      <t>オオ</t>
    </rPh>
    <rPh sb="1" eb="2">
      <t>マサ</t>
    </rPh>
    <rPh sb="2" eb="4">
      <t>ソウケン</t>
    </rPh>
    <phoneticPr fontId="1"/>
  </si>
  <si>
    <t>蒼林技建</t>
    <rPh sb="0" eb="4">
      <t>ソウ</t>
    </rPh>
    <phoneticPr fontId="1"/>
  </si>
  <si>
    <t>トゥインクルワールド</t>
    <phoneticPr fontId="1"/>
  </si>
  <si>
    <t>結栄総建</t>
    <rPh sb="0" eb="1">
      <t>ムス</t>
    </rPh>
    <rPh sb="1" eb="2">
      <t>サカ</t>
    </rPh>
    <rPh sb="2" eb="4">
      <t>ソウケン</t>
    </rPh>
    <phoneticPr fontId="1"/>
  </si>
  <si>
    <t>大阪技研工業</t>
    <rPh sb="0" eb="6">
      <t>オオサカギケンコウギョウ</t>
    </rPh>
    <phoneticPr fontId="1"/>
  </si>
  <si>
    <t>クリエーション</t>
    <phoneticPr fontId="1"/>
  </si>
  <si>
    <t>T&amp;Sコーポレーション</t>
    <phoneticPr fontId="1"/>
  </si>
  <si>
    <t>LAX</t>
    <phoneticPr fontId="1"/>
  </si>
  <si>
    <t>山昇</t>
    <rPh sb="0" eb="2">
      <t>ヤマショウ</t>
    </rPh>
    <phoneticPr fontId="1"/>
  </si>
  <si>
    <t>ミネルヴァ</t>
    <phoneticPr fontId="1"/>
  </si>
  <si>
    <t>ヤマト</t>
    <phoneticPr fontId="1"/>
  </si>
  <si>
    <t>協力業者名</t>
    <rPh sb="0" eb="5">
      <t>キョウリョクギョウシャメイ</t>
    </rPh>
    <phoneticPr fontId="1"/>
  </si>
  <si>
    <t>本体</t>
    <rPh sb="0" eb="2">
      <t>ホンタイ</t>
    </rPh>
    <phoneticPr fontId="1"/>
  </si>
  <si>
    <t>各社いろいろ</t>
    <rPh sb="0" eb="2">
      <t>カクシャ</t>
    </rPh>
    <phoneticPr fontId="1"/>
  </si>
  <si>
    <t>ダイキ防水</t>
    <rPh sb="3" eb="5">
      <t>ボウスイ</t>
    </rPh>
    <phoneticPr fontId="1"/>
  </si>
  <si>
    <t>野方防水</t>
    <rPh sb="0" eb="4">
      <t>ノガタボウスイ</t>
    </rPh>
    <phoneticPr fontId="1"/>
  </si>
  <si>
    <t>本体+ダイキ防水</t>
    <rPh sb="0" eb="2">
      <t>ホンタイ</t>
    </rPh>
    <rPh sb="6" eb="8">
      <t>ボウスイ</t>
    </rPh>
    <phoneticPr fontId="1"/>
  </si>
  <si>
    <t>アイジー</t>
    <phoneticPr fontId="1"/>
  </si>
  <si>
    <t>木村技建</t>
    <rPh sb="0" eb="2">
      <t>キムラ</t>
    </rPh>
    <rPh sb="2" eb="4">
      <t>ギケン</t>
    </rPh>
    <phoneticPr fontId="1"/>
  </si>
  <si>
    <t>和泉工業</t>
    <rPh sb="0" eb="2">
      <t>イズミ</t>
    </rPh>
    <rPh sb="2" eb="4">
      <t>コウギョウ</t>
    </rPh>
    <phoneticPr fontId="1"/>
  </si>
  <si>
    <t>泉陽高等学校普通教室棟大規模修繕工事</t>
    <rPh sb="0" eb="2">
      <t>センヨウ</t>
    </rPh>
    <rPh sb="2" eb="4">
      <t>コウトウ</t>
    </rPh>
    <rPh sb="4" eb="6">
      <t>ガッコウ</t>
    </rPh>
    <rPh sb="6" eb="11">
      <t>フツウキョウシツトウ</t>
    </rPh>
    <rPh sb="11" eb="14">
      <t>ダイキボ</t>
    </rPh>
    <rPh sb="14" eb="16">
      <t>シュウゼン</t>
    </rPh>
    <rPh sb="16" eb="18">
      <t>コウジ</t>
    </rPh>
    <phoneticPr fontId="1"/>
  </si>
  <si>
    <t>３０日</t>
    <rPh sb="2" eb="3">
      <t>ニチ</t>
    </rPh>
    <phoneticPr fontId="1"/>
  </si>
  <si>
    <t>伊藤様邸</t>
    <rPh sb="0" eb="2">
      <t>イトウ</t>
    </rPh>
    <rPh sb="2" eb="4">
      <t>サマテイ</t>
    </rPh>
    <phoneticPr fontId="1"/>
  </si>
  <si>
    <t>３日</t>
    <rPh sb="1" eb="2">
      <t>ニチ</t>
    </rPh>
    <phoneticPr fontId="1"/>
  </si>
  <si>
    <t>ファミーユセラ大規模修繕工事</t>
    <rPh sb="7" eb="14">
      <t>ダイキボシュウゼンコウジ</t>
    </rPh>
    <phoneticPr fontId="1"/>
  </si>
  <si>
    <t>野方防水、本体</t>
    <rPh sb="0" eb="4">
      <t>ノガタボウスイ</t>
    </rPh>
    <rPh sb="5" eb="7">
      <t>ホンタイ</t>
    </rPh>
    <phoneticPr fontId="1"/>
  </si>
  <si>
    <t>５０日</t>
    <rPh sb="2" eb="3">
      <t>ニチ</t>
    </rPh>
    <phoneticPr fontId="1"/>
  </si>
  <si>
    <t>シティタワー東梅田パークフロント</t>
    <rPh sb="6" eb="9">
      <t>ヒガシウメダ</t>
    </rPh>
    <phoneticPr fontId="1"/>
  </si>
  <si>
    <t>プランドール新石切</t>
    <rPh sb="6" eb="9">
      <t>シンイシキリ</t>
    </rPh>
    <phoneticPr fontId="1"/>
  </si>
  <si>
    <t>泉工業、本体</t>
    <rPh sb="0" eb="1">
      <t>イズミ</t>
    </rPh>
    <rPh sb="1" eb="3">
      <t>コウギョウ</t>
    </rPh>
    <rPh sb="4" eb="6">
      <t>ホンタイ</t>
    </rPh>
    <phoneticPr fontId="1"/>
  </si>
  <si>
    <t>京都きもの</t>
    <rPh sb="0" eb="2">
      <t>キョウト</t>
    </rPh>
    <phoneticPr fontId="1"/>
  </si>
  <si>
    <t>蒼林技建</t>
    <rPh sb="0" eb="1">
      <t>アオイ</t>
    </rPh>
    <rPh sb="1" eb="2">
      <t>ハヤシ</t>
    </rPh>
    <rPh sb="2" eb="4">
      <t>ギケン</t>
    </rPh>
    <phoneticPr fontId="1"/>
  </si>
  <si>
    <t>本体予定</t>
    <rPh sb="0" eb="4">
      <t>ホンタイヨテイ</t>
    </rPh>
    <phoneticPr fontId="1"/>
  </si>
  <si>
    <t>HRB</t>
    <phoneticPr fontId="1"/>
  </si>
  <si>
    <t>川西市某現場</t>
    <rPh sb="0" eb="3">
      <t>カワニシシ</t>
    </rPh>
    <rPh sb="3" eb="6">
      <t>ボウゲンバ</t>
    </rPh>
    <phoneticPr fontId="1"/>
  </si>
  <si>
    <t>リベル</t>
    <phoneticPr fontId="1"/>
  </si>
  <si>
    <t>ヴェルティカル二条城北</t>
    <rPh sb="7" eb="10">
      <t>ニジョウジョウ</t>
    </rPh>
    <rPh sb="10" eb="11">
      <t>キタ</t>
    </rPh>
    <phoneticPr fontId="1"/>
  </si>
  <si>
    <t>10日</t>
    <rPh sb="2" eb="3">
      <t>ニチ</t>
    </rPh>
    <phoneticPr fontId="1"/>
  </si>
  <si>
    <t>プレサンス阿倍野下地補修工事</t>
    <rPh sb="5" eb="8">
      <t>アベノ</t>
    </rPh>
    <rPh sb="8" eb="14">
      <t>シタジホシュウコウジ</t>
    </rPh>
    <phoneticPr fontId="1"/>
  </si>
  <si>
    <t>30日</t>
    <rPh sb="2" eb="3">
      <t>ニチ</t>
    </rPh>
    <phoneticPr fontId="1"/>
  </si>
  <si>
    <t>市岡ポンプ場</t>
    <rPh sb="0" eb="2">
      <t>イチオカ</t>
    </rPh>
    <rPh sb="5" eb="6">
      <t>ジョウ</t>
    </rPh>
    <phoneticPr fontId="1"/>
  </si>
  <si>
    <t>本体、蒼林技建</t>
    <rPh sb="0" eb="2">
      <t>ホンタイ</t>
    </rPh>
    <rPh sb="3" eb="4">
      <t>アオイ</t>
    </rPh>
    <rPh sb="4" eb="7">
      <t>ハヤシギケン</t>
    </rPh>
    <phoneticPr fontId="1"/>
  </si>
  <si>
    <t>ケンキョウ　</t>
    <phoneticPr fontId="1"/>
  </si>
  <si>
    <t>蒼林技建</t>
    <rPh sb="0" eb="1">
      <t>アオイ</t>
    </rPh>
    <rPh sb="1" eb="4">
      <t>ハヤシギケン</t>
    </rPh>
    <phoneticPr fontId="1"/>
  </si>
  <si>
    <t>信濃橋三井ビル</t>
    <rPh sb="0" eb="3">
      <t>シナノバシ</t>
    </rPh>
    <rPh sb="3" eb="5">
      <t>ミツイ</t>
    </rPh>
    <phoneticPr fontId="1"/>
  </si>
  <si>
    <t>ベルドミール緑翠苑</t>
    <rPh sb="6" eb="8">
      <t>リョクスイ</t>
    </rPh>
    <rPh sb="8" eb="9">
      <t>エン</t>
    </rPh>
    <phoneticPr fontId="1"/>
  </si>
  <si>
    <t>未定</t>
    <rPh sb="0" eb="2">
      <t>ミテイ</t>
    </rPh>
    <phoneticPr fontId="1"/>
  </si>
  <si>
    <t>5日</t>
    <rPh sb="1" eb="2">
      <t>ニチ</t>
    </rPh>
    <phoneticPr fontId="1"/>
  </si>
  <si>
    <t>藤崎様</t>
    <rPh sb="0" eb="3">
      <t>フジサキサマ</t>
    </rPh>
    <phoneticPr fontId="1"/>
  </si>
  <si>
    <t>藤崎ビル屋上防水工事</t>
    <rPh sb="0" eb="2">
      <t>フジサキ</t>
    </rPh>
    <rPh sb="4" eb="8">
      <t>オクジョウボウスイ</t>
    </rPh>
    <rPh sb="8" eb="10">
      <t>コウジ</t>
    </rPh>
    <phoneticPr fontId="1"/>
  </si>
  <si>
    <t>野方防水+本体</t>
    <rPh sb="0" eb="4">
      <t>ノガタボウスイ</t>
    </rPh>
    <rPh sb="5" eb="7">
      <t>ホンタイ</t>
    </rPh>
    <phoneticPr fontId="1"/>
  </si>
  <si>
    <t>浜畑様邸</t>
    <rPh sb="0" eb="1">
      <t>ハマ</t>
    </rPh>
    <rPh sb="1" eb="2">
      <t>ハタ</t>
    </rPh>
    <rPh sb="2" eb="4">
      <t>サマテイ</t>
    </rPh>
    <phoneticPr fontId="1"/>
  </si>
  <si>
    <t>3日</t>
    <rPh sb="1" eb="2">
      <t>ニチ</t>
    </rPh>
    <phoneticPr fontId="1"/>
  </si>
  <si>
    <t>コセキ技巧</t>
    <rPh sb="3" eb="5">
      <t>ギコウ</t>
    </rPh>
    <phoneticPr fontId="1"/>
  </si>
  <si>
    <t>REPLACE</t>
    <phoneticPr fontId="1"/>
  </si>
  <si>
    <t>コスモシティ平野</t>
    <rPh sb="6" eb="8">
      <t>ヒラノ</t>
    </rPh>
    <phoneticPr fontId="1"/>
  </si>
  <si>
    <t>4日</t>
    <rPh sb="1" eb="2">
      <t>ニチ</t>
    </rPh>
    <phoneticPr fontId="1"/>
  </si>
  <si>
    <t>ワカテック　715000円←外注費</t>
    <rPh sb="12" eb="13">
      <t>エン</t>
    </rPh>
    <rPh sb="14" eb="17">
      <t>ガイチュウヒ</t>
    </rPh>
    <phoneticPr fontId="1"/>
  </si>
  <si>
    <t>ケンキョウ　832250円←請負金額</t>
    <rPh sb="12" eb="13">
      <t>エン</t>
    </rPh>
    <rPh sb="14" eb="16">
      <t>ウケオイ</t>
    </rPh>
    <rPh sb="16" eb="18">
      <t>キンガク</t>
    </rPh>
    <phoneticPr fontId="1"/>
  </si>
  <si>
    <t>ワカテック　220000円←外注費</t>
    <rPh sb="12" eb="13">
      <t>エン</t>
    </rPh>
    <rPh sb="14" eb="17">
      <t>ガイチュウヒ</t>
    </rPh>
    <phoneticPr fontId="1"/>
  </si>
  <si>
    <t>アイシン希望の丘　（名古屋）</t>
    <rPh sb="4" eb="6">
      <t>キボウ</t>
    </rPh>
    <rPh sb="7" eb="8">
      <t>オカ</t>
    </rPh>
    <rPh sb="10" eb="13">
      <t>ナゴヤ</t>
    </rPh>
    <phoneticPr fontId="1"/>
  </si>
  <si>
    <t>山昇　</t>
    <rPh sb="0" eb="2">
      <t>ヤマショウ</t>
    </rPh>
    <phoneticPr fontId="1"/>
  </si>
  <si>
    <t>ハイツサニーコート長尺シート</t>
    <rPh sb="9" eb="11">
      <t>チョウジャク</t>
    </rPh>
    <phoneticPr fontId="1"/>
  </si>
  <si>
    <t>えびす建装</t>
    <rPh sb="3" eb="5">
      <t>ケンソウ</t>
    </rPh>
    <phoneticPr fontId="1"/>
  </si>
  <si>
    <t>野方防水</t>
    <rPh sb="0" eb="2">
      <t>ノガタ</t>
    </rPh>
    <rPh sb="2" eb="4">
      <t>ボウスイ</t>
    </rPh>
    <phoneticPr fontId="1"/>
  </si>
  <si>
    <t>宇田様邸</t>
    <rPh sb="0" eb="2">
      <t>ウダ</t>
    </rPh>
    <rPh sb="2" eb="4">
      <t>サマテイ</t>
    </rPh>
    <phoneticPr fontId="1"/>
  </si>
  <si>
    <t>７日</t>
    <rPh sb="1" eb="2">
      <t>ニチ</t>
    </rPh>
    <phoneticPr fontId="1"/>
  </si>
  <si>
    <t>セブンイレブン千林</t>
    <rPh sb="7" eb="9">
      <t>センバヤシ</t>
    </rPh>
    <phoneticPr fontId="1"/>
  </si>
  <si>
    <t>セレッソコート宝塚</t>
    <rPh sb="7" eb="9">
      <t>タカラヅカ</t>
    </rPh>
    <phoneticPr fontId="1"/>
  </si>
  <si>
    <t>yamato</t>
    <phoneticPr fontId="1"/>
  </si>
  <si>
    <t>60日</t>
    <rPh sb="2" eb="3">
      <t>ニチ</t>
    </rPh>
    <phoneticPr fontId="1"/>
  </si>
  <si>
    <t>石見ハイツ第2</t>
    <rPh sb="0" eb="2">
      <t>イシミ</t>
    </rPh>
    <rPh sb="5" eb="6">
      <t>ダイ</t>
    </rPh>
    <phoneticPr fontId="1"/>
  </si>
  <si>
    <t>本体+REPLACE</t>
    <rPh sb="0" eb="2">
      <t>ホンタイ</t>
    </rPh>
    <phoneticPr fontId="1"/>
  </si>
  <si>
    <t>←日付間違い</t>
    <rPh sb="1" eb="5">
      <t>ヒヅケマチガ</t>
    </rPh>
    <phoneticPr fontId="1"/>
  </si>
  <si>
    <t>ワカテック</t>
    <phoneticPr fontId="1"/>
  </si>
  <si>
    <t>ハピネス相川</t>
    <rPh sb="4" eb="6">
      <t>アイカワ</t>
    </rPh>
    <phoneticPr fontId="1"/>
  </si>
  <si>
    <t>野方防水+ダイキ防水+本体</t>
    <rPh sb="0" eb="2">
      <t>ノガタ</t>
    </rPh>
    <rPh sb="2" eb="4">
      <t>ボウスイ</t>
    </rPh>
    <rPh sb="8" eb="10">
      <t>ボウスイ</t>
    </rPh>
    <rPh sb="11" eb="13">
      <t>ホンタイ</t>
    </rPh>
    <phoneticPr fontId="1"/>
  </si>
  <si>
    <t>働く婦人の家</t>
    <rPh sb="0" eb="1">
      <t>ハタラ</t>
    </rPh>
    <rPh sb="2" eb="4">
      <t>フジン</t>
    </rPh>
    <rPh sb="5" eb="6">
      <t>イエ</t>
    </rPh>
    <phoneticPr fontId="1"/>
  </si>
  <si>
    <t>サンハイム帝塚山</t>
    <rPh sb="5" eb="8">
      <t>テヅカヤマ</t>
    </rPh>
    <phoneticPr fontId="1"/>
  </si>
  <si>
    <t>野方防水+横山君</t>
    <rPh sb="0" eb="4">
      <t>ノガタボウスイ</t>
    </rPh>
    <rPh sb="5" eb="8">
      <t>ヨコヤマクン</t>
    </rPh>
    <phoneticPr fontId="1"/>
  </si>
  <si>
    <t>京都教育大学</t>
    <rPh sb="0" eb="6">
      <t>キョウトキョウイクダイガク</t>
    </rPh>
    <phoneticPr fontId="1"/>
  </si>
  <si>
    <t>ハイツサンコー</t>
    <phoneticPr fontId="1"/>
  </si>
  <si>
    <t>TSB商会</t>
    <rPh sb="3" eb="5">
      <t>ショウカイ</t>
    </rPh>
    <phoneticPr fontId="1"/>
  </si>
  <si>
    <t>インターワンプレイス鳥丸屋上防水</t>
    <rPh sb="10" eb="12">
      <t>トリマル</t>
    </rPh>
    <rPh sb="12" eb="16">
      <t>オクジョウボウスイ</t>
    </rPh>
    <phoneticPr fontId="1"/>
  </si>
  <si>
    <t>22日</t>
    <rPh sb="2" eb="3">
      <t>ニチ</t>
    </rPh>
    <phoneticPr fontId="1"/>
  </si>
  <si>
    <t>南武庫之荘改良住宅</t>
    <rPh sb="0" eb="1">
      <t>ミナミ</t>
    </rPh>
    <rPh sb="1" eb="5">
      <t>ムコノソウ</t>
    </rPh>
    <rPh sb="5" eb="9">
      <t>カイリョウジュウタク</t>
    </rPh>
    <phoneticPr fontId="1"/>
  </si>
  <si>
    <t>BISIKEN</t>
    <phoneticPr fontId="1"/>
  </si>
  <si>
    <t>Stmonウレタン防水工事</t>
    <rPh sb="9" eb="11">
      <t>ボウスイ</t>
    </rPh>
    <rPh sb="11" eb="13">
      <t>コウジ</t>
    </rPh>
    <phoneticPr fontId="1"/>
  </si>
  <si>
    <t>大地建設</t>
    <rPh sb="0" eb="2">
      <t>オオチ</t>
    </rPh>
    <rPh sb="2" eb="4">
      <t>ケンセツ</t>
    </rPh>
    <phoneticPr fontId="1"/>
  </si>
  <si>
    <t>Liber</t>
    <phoneticPr fontId="1"/>
  </si>
  <si>
    <t>そらむくん</t>
    <phoneticPr fontId="1"/>
  </si>
  <si>
    <t>ヴェルティカル二条城北アンテナ工事</t>
    <rPh sb="7" eb="10">
      <t>ニジョウジョウ</t>
    </rPh>
    <rPh sb="10" eb="11">
      <t>キタ</t>
    </rPh>
    <rPh sb="15" eb="17">
      <t>コウジ</t>
    </rPh>
    <phoneticPr fontId="1"/>
  </si>
  <si>
    <t>2日</t>
    <rPh sb="1" eb="2">
      <t>ニチ</t>
    </rPh>
    <phoneticPr fontId="1"/>
  </si>
  <si>
    <t>ヤマイチ</t>
    <phoneticPr fontId="1"/>
  </si>
  <si>
    <t>KBG</t>
    <phoneticPr fontId="1"/>
  </si>
  <si>
    <t>アスヴェル京都市役所駅前Ⅲ</t>
    <rPh sb="5" eb="12">
      <t>キョウトシヤクショエキマエ</t>
    </rPh>
    <phoneticPr fontId="1"/>
  </si>
  <si>
    <t>シンシア</t>
    <phoneticPr fontId="1"/>
  </si>
  <si>
    <t>グランソシエ小路</t>
    <rPh sb="6" eb="8">
      <t>ショウジ</t>
    </rPh>
    <phoneticPr fontId="1"/>
  </si>
  <si>
    <t>西地区小中一貫校施設改修工事  (請負額税別280万円)</t>
    <rPh sb="0" eb="3">
      <t>ニシチク</t>
    </rPh>
    <rPh sb="3" eb="5">
      <t>ショウチュウ</t>
    </rPh>
    <rPh sb="5" eb="8">
      <t>イッカンコウ</t>
    </rPh>
    <rPh sb="8" eb="10">
      <t>シセツ</t>
    </rPh>
    <rPh sb="10" eb="12">
      <t>カイシュウ</t>
    </rPh>
    <rPh sb="12" eb="14">
      <t>コウジ</t>
    </rPh>
    <rPh sb="17" eb="20">
      <t>ウケオイガク</t>
    </rPh>
    <rPh sb="20" eb="22">
      <t>ゼイベツ</t>
    </rPh>
    <rPh sb="25" eb="27">
      <t>マンエン</t>
    </rPh>
    <phoneticPr fontId="1"/>
  </si>
  <si>
    <t>ステイツ豊中大規模修繕工事</t>
    <rPh sb="4" eb="6">
      <t>トヨナカ</t>
    </rPh>
    <rPh sb="6" eb="13">
      <t>ダイキボシュウゼンコウジ</t>
    </rPh>
    <phoneticPr fontId="1"/>
  </si>
  <si>
    <t>リベルタ</t>
    <phoneticPr fontId="1"/>
  </si>
  <si>
    <t>エイアール工事</t>
    <rPh sb="5" eb="7">
      <t>コウジ</t>
    </rPh>
    <phoneticPr fontId="1"/>
  </si>
  <si>
    <t>14日</t>
    <rPh sb="2" eb="3">
      <t>ニチ</t>
    </rPh>
    <phoneticPr fontId="1"/>
  </si>
  <si>
    <t>池亀様邸</t>
    <rPh sb="0" eb="3">
      <t>イケガメサマ</t>
    </rPh>
    <rPh sb="3" eb="4">
      <t>テイ</t>
    </rPh>
    <phoneticPr fontId="1"/>
  </si>
  <si>
    <t>２日</t>
    <rPh sb="1" eb="2">
      <t>ニチ</t>
    </rPh>
    <phoneticPr fontId="1"/>
  </si>
  <si>
    <t>セラヴィー119</t>
    <phoneticPr fontId="1"/>
  </si>
  <si>
    <t>IG+RIPLACE+本体</t>
    <rPh sb="11" eb="13">
      <t>ホンタイ</t>
    </rPh>
    <phoneticPr fontId="1"/>
  </si>
  <si>
    <t>58日</t>
    <rPh sb="2" eb="3">
      <t>ニチ</t>
    </rPh>
    <phoneticPr fontId="1"/>
  </si>
  <si>
    <t>高槻市津之江北町高齢者グループホーム</t>
    <rPh sb="0" eb="3">
      <t>タカツキシ</t>
    </rPh>
    <rPh sb="3" eb="8">
      <t>ツノエキタマチ</t>
    </rPh>
    <rPh sb="8" eb="11">
      <t>コウレイシャ</t>
    </rPh>
    <phoneticPr fontId="1"/>
  </si>
  <si>
    <t>竹の台団地</t>
    <rPh sb="0" eb="1">
      <t>タケ</t>
    </rPh>
    <rPh sb="2" eb="3">
      <t>ダイ</t>
    </rPh>
    <rPh sb="3" eb="5">
      <t>ダンチ</t>
    </rPh>
    <phoneticPr fontId="1"/>
  </si>
  <si>
    <t>40日</t>
    <rPh sb="2" eb="3">
      <t>ニチ</t>
    </rPh>
    <phoneticPr fontId="1"/>
  </si>
  <si>
    <t>安養寺階段補修工事</t>
    <rPh sb="0" eb="3">
      <t>アンヨウジ</t>
    </rPh>
    <rPh sb="3" eb="7">
      <t>カイダンホシュウ</t>
    </rPh>
    <rPh sb="7" eb="9">
      <t>コウジ</t>
    </rPh>
    <phoneticPr fontId="1"/>
  </si>
  <si>
    <t>７日</t>
    <rPh sb="1" eb="2">
      <t>ニチ</t>
    </rPh>
    <phoneticPr fontId="1"/>
  </si>
  <si>
    <t>たちばな保育園　保育室棟</t>
    <rPh sb="4" eb="7">
      <t>ホイクエン</t>
    </rPh>
    <rPh sb="8" eb="11">
      <t>ホイクシツ</t>
    </rPh>
    <rPh sb="11" eb="12">
      <t>トウ</t>
    </rPh>
    <phoneticPr fontId="1"/>
  </si>
  <si>
    <t>15日</t>
    <rPh sb="2" eb="3">
      <t>ニチ</t>
    </rPh>
    <phoneticPr fontId="1"/>
  </si>
  <si>
    <t>梅本様邸</t>
    <rPh sb="0" eb="4">
      <t>ウメモトサマテイ</t>
    </rPh>
    <phoneticPr fontId="1"/>
  </si>
  <si>
    <t>興亜</t>
    <rPh sb="0" eb="2">
      <t>コウア</t>
    </rPh>
    <phoneticPr fontId="1"/>
  </si>
  <si>
    <t>舞鶴自衛隊</t>
    <rPh sb="0" eb="2">
      <t>マイヅル</t>
    </rPh>
    <rPh sb="2" eb="5">
      <t>ジエイタイ</t>
    </rPh>
    <phoneticPr fontId="1"/>
  </si>
  <si>
    <t>１４日</t>
    <rPh sb="2" eb="3">
      <t>ニチ</t>
    </rPh>
    <phoneticPr fontId="1"/>
  </si>
  <si>
    <t>サンジェルマン番町</t>
    <rPh sb="7" eb="9">
      <t>バンマチ</t>
    </rPh>
    <phoneticPr fontId="1"/>
  </si>
  <si>
    <t>14日</t>
    <rPh sb="2" eb="3">
      <t>ニチ</t>
    </rPh>
    <phoneticPr fontId="1"/>
  </si>
  <si>
    <t>インターワンプレイス鳥丸屋上防水 追加ウレタン</t>
    <rPh sb="10" eb="12">
      <t>トリマル</t>
    </rPh>
    <rPh sb="12" eb="16">
      <t>オクジョウボウスイ</t>
    </rPh>
    <rPh sb="17" eb="19">
      <t>ツイカ</t>
    </rPh>
    <phoneticPr fontId="1"/>
  </si>
  <si>
    <t>横山さん</t>
    <rPh sb="0" eb="2">
      <t>ヨコヤマ</t>
    </rPh>
    <phoneticPr fontId="1"/>
  </si>
  <si>
    <t>３日</t>
    <rPh sb="1" eb="2">
      <t>ニチ</t>
    </rPh>
    <phoneticPr fontId="1"/>
  </si>
  <si>
    <t>灘ビューハイツ大規模修繕工事</t>
    <rPh sb="0" eb="1">
      <t>ナダ</t>
    </rPh>
    <rPh sb="7" eb="14">
      <t>ダイキボシュウゼンコウジ</t>
    </rPh>
    <phoneticPr fontId="1"/>
  </si>
  <si>
    <t>13日</t>
    <rPh sb="2" eb="3">
      <t>ニチ</t>
    </rPh>
    <phoneticPr fontId="1"/>
  </si>
  <si>
    <t>請負金額</t>
    <rPh sb="0" eb="4">
      <t>ウケオイキンガク</t>
    </rPh>
    <phoneticPr fontId="1"/>
  </si>
  <si>
    <t>外注費</t>
    <rPh sb="0" eb="3">
      <t>ガイチュウヒ</t>
    </rPh>
    <phoneticPr fontId="1"/>
  </si>
  <si>
    <t>全て税別</t>
    <rPh sb="0" eb="1">
      <t>スベ</t>
    </rPh>
    <rPh sb="2" eb="4">
      <t>ゼイベツ</t>
    </rPh>
    <phoneticPr fontId="1"/>
  </si>
  <si>
    <t>LAX</t>
    <phoneticPr fontId="1"/>
  </si>
  <si>
    <t>大地建設</t>
    <rPh sb="0" eb="4">
      <t>オオチケンセツ</t>
    </rPh>
    <phoneticPr fontId="1"/>
  </si>
  <si>
    <t>びっくりドンキー住之江店屋上防水工事</t>
    <rPh sb="8" eb="12">
      <t>スミノエミセ</t>
    </rPh>
    <rPh sb="12" eb="18">
      <t>オクジョウボウスイコウジ</t>
    </rPh>
    <phoneticPr fontId="1"/>
  </si>
  <si>
    <t>60日</t>
    <rPh sb="2" eb="3">
      <t>ニチ</t>
    </rPh>
    <phoneticPr fontId="1"/>
  </si>
  <si>
    <t>本体</t>
    <rPh sb="0" eb="2">
      <t>ホンタイ</t>
    </rPh>
    <phoneticPr fontId="1"/>
  </si>
  <si>
    <t>金岡様邸</t>
    <rPh sb="0" eb="4">
      <t>カナオカサマテイ</t>
    </rPh>
    <phoneticPr fontId="1"/>
  </si>
  <si>
    <t>3日</t>
    <rPh sb="1" eb="2">
      <t>ニチ</t>
    </rPh>
    <phoneticPr fontId="1"/>
  </si>
  <si>
    <t>大阪技研工業</t>
    <rPh sb="0" eb="6">
      <t>オオサカギケンコウギョウ</t>
    </rPh>
    <phoneticPr fontId="1"/>
  </si>
  <si>
    <t>山昇+REPLACE</t>
    <rPh sb="0" eb="2">
      <t>ヤマショウ</t>
    </rPh>
    <phoneticPr fontId="1"/>
  </si>
  <si>
    <t>プランドール新石切M3</t>
    <rPh sb="6" eb="9">
      <t>シンイシキリ</t>
    </rPh>
    <phoneticPr fontId="1"/>
  </si>
  <si>
    <t>30日</t>
    <rPh sb="2" eb="3">
      <t>ニチ</t>
    </rPh>
    <phoneticPr fontId="1"/>
  </si>
  <si>
    <t>第三万陽苑屋上防水工事</t>
    <rPh sb="0" eb="2">
      <t>ダイサン</t>
    </rPh>
    <rPh sb="3" eb="4">
      <t>ヨウ</t>
    </rPh>
    <rPh sb="4" eb="5">
      <t>エン</t>
    </rPh>
    <rPh sb="5" eb="7">
      <t>オクジョウ</t>
    </rPh>
    <rPh sb="7" eb="9">
      <t>ボウスイ</t>
    </rPh>
    <rPh sb="9" eb="11">
      <t>コウジ</t>
    </rPh>
    <phoneticPr fontId="1"/>
  </si>
  <si>
    <t>びっくりドンキー浜寺店屋上防水工事</t>
    <rPh sb="8" eb="10">
      <t>ハマデラ</t>
    </rPh>
    <rPh sb="10" eb="11">
      <t>テン</t>
    </rPh>
    <rPh sb="11" eb="17">
      <t>オクジョウボウスイコウジ</t>
    </rPh>
    <phoneticPr fontId="1"/>
  </si>
  <si>
    <t>アイニティ</t>
    <phoneticPr fontId="1"/>
  </si>
  <si>
    <t>御影大蔵マンション板金補修工事</t>
    <rPh sb="0" eb="4">
      <t>ミカゲオオクラ</t>
    </rPh>
    <rPh sb="9" eb="15">
      <t>バンキンホシュウコウジ</t>
    </rPh>
    <phoneticPr fontId="1"/>
  </si>
  <si>
    <t>1日</t>
    <rPh sb="1" eb="2">
      <t>ニチ</t>
    </rPh>
    <phoneticPr fontId="1"/>
  </si>
  <si>
    <t>大地建設</t>
    <rPh sb="0" eb="4">
      <t>オオチケンセツ</t>
    </rPh>
    <phoneticPr fontId="1"/>
  </si>
  <si>
    <t>南扇町ビル外壁修繕工事</t>
    <rPh sb="0" eb="3">
      <t>ミナミオオギマチ</t>
    </rPh>
    <rPh sb="5" eb="11">
      <t>ガイヘキシュウゼンコウジ</t>
    </rPh>
    <phoneticPr fontId="1"/>
  </si>
  <si>
    <t>プランドール新石切M3　バルコニー</t>
    <rPh sb="6" eb="9">
      <t>シンイシキリ</t>
    </rPh>
    <phoneticPr fontId="1"/>
  </si>
  <si>
    <t>山昇1910000</t>
    <rPh sb="0" eb="1">
      <t>ヤマ</t>
    </rPh>
    <rPh sb="1" eb="2">
      <t>ノボル</t>
    </rPh>
    <phoneticPr fontId="1"/>
  </si>
  <si>
    <t>山昇77000</t>
    <rPh sb="0" eb="1">
      <t>ヤマ</t>
    </rPh>
    <rPh sb="1" eb="2">
      <t>ノボル</t>
    </rPh>
    <phoneticPr fontId="1"/>
  </si>
  <si>
    <t>リプレイス　170000</t>
    <phoneticPr fontId="1"/>
  </si>
  <si>
    <t>リプレイス　1690000</t>
    <phoneticPr fontId="1"/>
  </si>
  <si>
    <t>調査後確定</t>
    <rPh sb="0" eb="2">
      <t>チョウサ</t>
    </rPh>
    <rPh sb="2" eb="3">
      <t>ゴ</t>
    </rPh>
    <rPh sb="3" eb="5">
      <t>カクテイ</t>
    </rPh>
    <phoneticPr fontId="1"/>
  </si>
  <si>
    <t>未定</t>
    <rPh sb="0" eb="2">
      <t>ミテイ</t>
    </rPh>
    <phoneticPr fontId="1"/>
  </si>
  <si>
    <t>メイゾン高槻防水工事</t>
    <rPh sb="4" eb="6">
      <t>タカツキ</t>
    </rPh>
    <rPh sb="6" eb="10">
      <t>ボウスイコウジ</t>
    </rPh>
    <phoneticPr fontId="1"/>
  </si>
  <si>
    <t>20日</t>
    <rPh sb="2" eb="3">
      <t>ニチ</t>
    </rPh>
    <phoneticPr fontId="1"/>
  </si>
  <si>
    <t>ダイキ防水160000</t>
    <rPh sb="3" eb="5">
      <t>ボウスイ</t>
    </rPh>
    <phoneticPr fontId="1"/>
  </si>
  <si>
    <t>リベルタ</t>
    <phoneticPr fontId="1"/>
  </si>
  <si>
    <t>エミネンス内丸補修工事</t>
    <rPh sb="5" eb="7">
      <t>ウチマル</t>
    </rPh>
    <rPh sb="7" eb="11">
      <t>ホシュウコウジ</t>
    </rPh>
    <phoneticPr fontId="1"/>
  </si>
  <si>
    <t>池田防水工業</t>
    <rPh sb="0" eb="4">
      <t>イケダボウスイ</t>
    </rPh>
    <rPh sb="4" eb="6">
      <t>コウギョウ</t>
    </rPh>
    <phoneticPr fontId="1"/>
  </si>
  <si>
    <t>三國製薬防水工事</t>
    <rPh sb="0" eb="4">
      <t>ミクニセイヤク</t>
    </rPh>
    <rPh sb="4" eb="8">
      <t>ボウスイコウジ</t>
    </rPh>
    <phoneticPr fontId="1"/>
  </si>
  <si>
    <t>上六新興産ビル屋上防水工事</t>
    <rPh sb="0" eb="2">
      <t>ウエロク</t>
    </rPh>
    <rPh sb="2" eb="4">
      <t>シンコウ</t>
    </rPh>
    <rPh sb="4" eb="5">
      <t>サン</t>
    </rPh>
    <rPh sb="7" eb="9">
      <t>オクジョウ</t>
    </rPh>
    <rPh sb="9" eb="11">
      <t>ボウスイ</t>
    </rPh>
    <rPh sb="11" eb="13">
      <t>コウジ</t>
    </rPh>
    <phoneticPr fontId="1"/>
  </si>
  <si>
    <t>横山防水</t>
    <rPh sb="0" eb="4">
      <t>ヨコヤマボウスイ</t>
    </rPh>
    <phoneticPr fontId="1"/>
  </si>
  <si>
    <t>KBG+TSB</t>
    <phoneticPr fontId="1"/>
  </si>
  <si>
    <t>HOT様大規模修繕工事</t>
    <rPh sb="3" eb="4">
      <t>サマ</t>
    </rPh>
    <rPh sb="4" eb="7">
      <t>ダイキボ</t>
    </rPh>
    <rPh sb="7" eb="9">
      <t>シュウゼン</t>
    </rPh>
    <rPh sb="9" eb="11">
      <t>コウジ</t>
    </rPh>
    <phoneticPr fontId="1"/>
  </si>
  <si>
    <t>田中ハイツ</t>
    <rPh sb="0" eb="2">
      <t>タナカ</t>
    </rPh>
    <phoneticPr fontId="1"/>
  </si>
  <si>
    <t>18日</t>
    <rPh sb="2" eb="3">
      <t>ニチ</t>
    </rPh>
    <phoneticPr fontId="1"/>
  </si>
  <si>
    <t>長尾中学校</t>
    <rPh sb="0" eb="5">
      <t>ナガオチュウガッコウ</t>
    </rPh>
    <phoneticPr fontId="1"/>
  </si>
  <si>
    <t xml:space="preserve">   会社名　　　　外注費 </t>
    <rPh sb="3" eb="6">
      <t>カイシャメイ</t>
    </rPh>
    <rPh sb="10" eb="13">
      <t>ガイチュウヒ</t>
    </rPh>
    <phoneticPr fontId="1"/>
  </si>
  <si>
    <t>IG</t>
    <phoneticPr fontId="1"/>
  </si>
  <si>
    <t>ウメトクビル防水改修工事</t>
    <rPh sb="6" eb="12">
      <t>ボウスイカイシュウコウジ</t>
    </rPh>
    <phoneticPr fontId="1"/>
  </si>
  <si>
    <t>27日</t>
    <rPh sb="2" eb="3">
      <t>ニチ</t>
    </rPh>
    <phoneticPr fontId="1"/>
  </si>
  <si>
    <t>松宏コーボ</t>
    <rPh sb="0" eb="2">
      <t>マツヒロ</t>
    </rPh>
    <phoneticPr fontId="1"/>
  </si>
  <si>
    <t>田中コンストラクション防水工事</t>
    <rPh sb="0" eb="2">
      <t>タナカ</t>
    </rPh>
    <rPh sb="11" eb="15">
      <t>ボウスイコウジ</t>
    </rPh>
    <phoneticPr fontId="1"/>
  </si>
  <si>
    <t>６日</t>
    <rPh sb="1" eb="2">
      <t>ニチ</t>
    </rPh>
    <phoneticPr fontId="1"/>
  </si>
  <si>
    <t>老人ホーム網島の郷　防水工事</t>
    <rPh sb="0" eb="2">
      <t>ロウジン</t>
    </rPh>
    <rPh sb="5" eb="7">
      <t>アミシマ</t>
    </rPh>
    <rPh sb="8" eb="9">
      <t>サト</t>
    </rPh>
    <rPh sb="10" eb="14">
      <t>ボウスイコウジ</t>
    </rPh>
    <phoneticPr fontId="1"/>
  </si>
  <si>
    <t>鳳小学校プール改修工事</t>
    <rPh sb="0" eb="4">
      <t>オオトリショウガッコウ</t>
    </rPh>
    <rPh sb="7" eb="11">
      <t>カイシュウコウジ</t>
    </rPh>
    <phoneticPr fontId="1"/>
  </si>
  <si>
    <t>山昇</t>
    <rPh sb="0" eb="1">
      <t>ヤマ</t>
    </rPh>
    <rPh sb="1" eb="2">
      <t>ノボル</t>
    </rPh>
    <phoneticPr fontId="1"/>
  </si>
  <si>
    <t>せんちゅうばる２F屋上防水工事</t>
    <rPh sb="9" eb="13">
      <t>オクジョウボウスイ</t>
    </rPh>
    <rPh sb="13" eb="15">
      <t>コウジ</t>
    </rPh>
    <phoneticPr fontId="1"/>
  </si>
  <si>
    <t>リーガル堺大規模修繕工事</t>
    <rPh sb="4" eb="5">
      <t>サカイ</t>
    </rPh>
    <rPh sb="5" eb="8">
      <t>ダイキボ</t>
    </rPh>
    <rPh sb="8" eb="12">
      <t>シュウゼンコウジ</t>
    </rPh>
    <phoneticPr fontId="1"/>
  </si>
  <si>
    <t>セントラル千里山西大規模修繕工事</t>
    <rPh sb="5" eb="8">
      <t>センリヤマ</t>
    </rPh>
    <rPh sb="8" eb="9">
      <t>ニシ</t>
    </rPh>
    <rPh sb="9" eb="16">
      <t>ダイキボシュウゼンコウジ</t>
    </rPh>
    <phoneticPr fontId="1"/>
  </si>
  <si>
    <t>ヨークベル伊丹中央</t>
    <rPh sb="5" eb="7">
      <t>イタミ</t>
    </rPh>
    <rPh sb="7" eb="9">
      <t>チュウオウ</t>
    </rPh>
    <phoneticPr fontId="1"/>
  </si>
  <si>
    <t>K2</t>
    <phoneticPr fontId="1"/>
  </si>
  <si>
    <t>金城様邸</t>
    <rPh sb="0" eb="2">
      <t>キンジョウ</t>
    </rPh>
    <rPh sb="2" eb="4">
      <t>サマテイ</t>
    </rPh>
    <phoneticPr fontId="1"/>
  </si>
  <si>
    <t>ミズホ創建</t>
    <rPh sb="3" eb="5">
      <t>ソウケン</t>
    </rPh>
    <phoneticPr fontId="1"/>
  </si>
  <si>
    <t>2月30日</t>
    <rPh sb="1" eb="2">
      <t>ガツ</t>
    </rPh>
    <rPh sb="4" eb="5">
      <t>ニチ</t>
    </rPh>
    <phoneticPr fontId="1"/>
  </si>
  <si>
    <t>加島１丁目有料老人ホーム新築工事</t>
    <rPh sb="0" eb="2">
      <t>カシマ</t>
    </rPh>
    <rPh sb="3" eb="5">
      <t>チョウメ</t>
    </rPh>
    <rPh sb="5" eb="9">
      <t>ユウリョウロウジン</t>
    </rPh>
    <rPh sb="12" eb="16">
      <t>シンチクコウジ</t>
    </rPh>
    <phoneticPr fontId="1"/>
  </si>
  <si>
    <t>平澤様邸</t>
    <rPh sb="0" eb="2">
      <t>ヒラサワ</t>
    </rPh>
    <rPh sb="2" eb="4">
      <t>サマテイ</t>
    </rPh>
    <phoneticPr fontId="1"/>
  </si>
  <si>
    <t>メープル王子公園</t>
    <rPh sb="4" eb="8">
      <t>オウジコウエン</t>
    </rPh>
    <phoneticPr fontId="1"/>
  </si>
  <si>
    <t>箕面市民プール新築工事</t>
    <rPh sb="0" eb="2">
      <t>ミノオ</t>
    </rPh>
    <rPh sb="2" eb="4">
      <t>シミン</t>
    </rPh>
    <rPh sb="7" eb="11">
      <t>シンチクコウジ</t>
    </rPh>
    <phoneticPr fontId="1"/>
  </si>
  <si>
    <t>グランソシエ小路長尺シート工事</t>
    <rPh sb="6" eb="8">
      <t>ショウジ</t>
    </rPh>
    <rPh sb="8" eb="10">
      <t>チョウジャク</t>
    </rPh>
    <rPh sb="13" eb="15">
      <t>コウジ</t>
    </rPh>
    <phoneticPr fontId="1"/>
  </si>
  <si>
    <t>長尾谷高校防水工事</t>
    <rPh sb="0" eb="5">
      <t>ナガオダニコウコウ</t>
    </rPh>
    <rPh sb="5" eb="7">
      <t>ボウスイ</t>
    </rPh>
    <rPh sb="7" eb="9">
      <t>コウジ</t>
    </rPh>
    <phoneticPr fontId="1"/>
  </si>
  <si>
    <t>岩隈さん</t>
    <rPh sb="0" eb="2">
      <t>イワクマ</t>
    </rPh>
    <phoneticPr fontId="1"/>
  </si>
  <si>
    <t>厨房長尺シート工事</t>
    <rPh sb="0" eb="4">
      <t>チュウボウチョウジャク</t>
    </rPh>
    <rPh sb="7" eb="9">
      <t>コウジ</t>
    </rPh>
    <phoneticPr fontId="1"/>
  </si>
  <si>
    <t>12日</t>
    <rPh sb="2" eb="3">
      <t>ニチ</t>
    </rPh>
    <phoneticPr fontId="1"/>
  </si>
  <si>
    <t>市村様邸防水工事</t>
    <rPh sb="0" eb="2">
      <t>イチムラ</t>
    </rPh>
    <rPh sb="2" eb="3">
      <t>サマ</t>
    </rPh>
    <rPh sb="3" eb="4">
      <t>テイ</t>
    </rPh>
    <rPh sb="4" eb="8">
      <t>ボウスイコウジ</t>
    </rPh>
    <phoneticPr fontId="1"/>
  </si>
  <si>
    <t>材料金額</t>
    <rPh sb="0" eb="4">
      <t>ザイリョウキンガク</t>
    </rPh>
    <phoneticPr fontId="1"/>
  </si>
  <si>
    <t>粗利益</t>
    <phoneticPr fontId="1"/>
  </si>
  <si>
    <t>粗利益率</t>
    <phoneticPr fontId="1"/>
  </si>
  <si>
    <t>増減あり</t>
    <phoneticPr fontId="1"/>
  </si>
  <si>
    <t>岩熊さん</t>
    <rPh sb="0" eb="2">
      <t>イワクマ</t>
    </rPh>
    <phoneticPr fontId="1"/>
  </si>
  <si>
    <t>プルミエール天王寺屋上防水工事</t>
    <rPh sb="6" eb="15">
      <t>テンノウジオクジョウボウスイコウジ</t>
    </rPh>
    <phoneticPr fontId="1"/>
  </si>
  <si>
    <t>１０日</t>
    <rPh sb="2" eb="3">
      <t>ニチ</t>
    </rPh>
    <phoneticPr fontId="1"/>
  </si>
  <si>
    <t>ダイキ防水
野方防水</t>
    <rPh sb="3" eb="5">
      <t>ボウスイ</t>
    </rPh>
    <rPh sb="6" eb="8">
      <t>ノガタ</t>
    </rPh>
    <rPh sb="8" eb="10">
      <t>ボウスイ</t>
    </rPh>
    <phoneticPr fontId="1"/>
  </si>
  <si>
    <t>義哲テック</t>
    <rPh sb="0" eb="1">
      <t>ヨシ</t>
    </rPh>
    <rPh sb="1" eb="2">
      <t>テツ</t>
    </rPh>
    <phoneticPr fontId="1"/>
  </si>
  <si>
    <t>山根</t>
    <rPh sb="0" eb="2">
      <t>ヤマネ</t>
    </rPh>
    <phoneticPr fontId="1"/>
  </si>
  <si>
    <t>結栄総建</t>
    <rPh sb="0" eb="1">
      <t>ユイ</t>
    </rPh>
    <rPh sb="1" eb="2">
      <t>エイ</t>
    </rPh>
    <rPh sb="2" eb="3">
      <t>ソウ</t>
    </rPh>
    <rPh sb="3" eb="4">
      <t>ケン</t>
    </rPh>
    <phoneticPr fontId="1"/>
  </si>
  <si>
    <t>日永様邸</t>
    <rPh sb="0" eb="1">
      <t>ニチ</t>
    </rPh>
    <rPh sb="1" eb="2">
      <t>ナガ</t>
    </rPh>
    <rPh sb="2" eb="3">
      <t>サマ</t>
    </rPh>
    <rPh sb="3" eb="4">
      <t>テイ</t>
    </rPh>
    <phoneticPr fontId="1"/>
  </si>
  <si>
    <t>本体</t>
    <rPh sb="0" eb="2">
      <t>ホンタイ</t>
    </rPh>
    <phoneticPr fontId="1"/>
  </si>
  <si>
    <t>k2</t>
    <phoneticPr fontId="1"/>
  </si>
  <si>
    <t>さつき障がい者作業所</t>
    <rPh sb="3" eb="4">
      <t>ショウ</t>
    </rPh>
    <rPh sb="6" eb="7">
      <t>シャ</t>
    </rPh>
    <rPh sb="7" eb="10">
      <t>サギョウショ</t>
    </rPh>
    <phoneticPr fontId="1"/>
  </si>
  <si>
    <t>柴田塗装店</t>
    <rPh sb="0" eb="2">
      <t>シバタ</t>
    </rPh>
    <rPh sb="2" eb="5">
      <t>トソウテン</t>
    </rPh>
    <phoneticPr fontId="1"/>
  </si>
  <si>
    <t>細川様邸防水工事（石川県）</t>
    <rPh sb="0" eb="4">
      <t>ホソカワサマテイ</t>
    </rPh>
    <rPh sb="4" eb="8">
      <t>ボウスイコウジ</t>
    </rPh>
    <rPh sb="9" eb="11">
      <t>イシカワ</t>
    </rPh>
    <rPh sb="11" eb="12">
      <t>ケン</t>
    </rPh>
    <phoneticPr fontId="1"/>
  </si>
  <si>
    <t>７日</t>
    <rPh sb="1" eb="2">
      <t>ニチ</t>
    </rPh>
    <phoneticPr fontId="1"/>
  </si>
  <si>
    <t>和歌山市某現場</t>
    <rPh sb="0" eb="4">
      <t>ワカヤマシ</t>
    </rPh>
    <rPh sb="4" eb="7">
      <t>ボウゲンバ</t>
    </rPh>
    <phoneticPr fontId="1"/>
  </si>
  <si>
    <t>１５日</t>
    <rPh sb="2" eb="3">
      <t>ニチ</t>
    </rPh>
    <phoneticPr fontId="1"/>
  </si>
  <si>
    <t>神楽樹</t>
    <rPh sb="0" eb="2">
      <t>カグラ</t>
    </rPh>
    <rPh sb="2" eb="3">
      <t>ジュ</t>
    </rPh>
    <phoneticPr fontId="1"/>
  </si>
  <si>
    <t>ローズモントフレア別府駅前大規模修繕工事</t>
    <rPh sb="9" eb="13">
      <t>ベップエキマエ</t>
    </rPh>
    <rPh sb="13" eb="20">
      <t>ダイキボシュウゼンコウジ</t>
    </rPh>
    <phoneticPr fontId="1"/>
  </si>
  <si>
    <t>YAMATE435</t>
    <phoneticPr fontId="1"/>
  </si>
  <si>
    <t>30日</t>
    <rPh sb="2" eb="3">
      <t>ニチ</t>
    </rPh>
    <phoneticPr fontId="1"/>
  </si>
  <si>
    <t>K-STYLE</t>
    <phoneticPr fontId="1"/>
  </si>
  <si>
    <t>高砂薬業様新築工事</t>
    <rPh sb="0" eb="2">
      <t>タカサゴ</t>
    </rPh>
    <rPh sb="2" eb="4">
      <t>ヤクギョウ</t>
    </rPh>
    <rPh sb="4" eb="5">
      <t>サマ</t>
    </rPh>
    <rPh sb="5" eb="7">
      <t>シンチク</t>
    </rPh>
    <rPh sb="7" eb="9">
      <t>コウジ</t>
    </rPh>
    <phoneticPr fontId="1"/>
  </si>
  <si>
    <t>ミズホ創建</t>
    <phoneticPr fontId="1"/>
  </si>
  <si>
    <t>90日</t>
    <rPh sb="2" eb="3">
      <t>ニチ</t>
    </rPh>
    <phoneticPr fontId="1"/>
  </si>
  <si>
    <t>80日</t>
    <rPh sb="2" eb="3">
      <t>ニチ</t>
    </rPh>
    <phoneticPr fontId="1"/>
  </si>
  <si>
    <t>ダイキ防水</t>
    <rPh sb="3" eb="5">
      <t>ボウスイ</t>
    </rPh>
    <phoneticPr fontId="1"/>
  </si>
  <si>
    <t>吉本工務店</t>
    <rPh sb="0" eb="5">
      <t>ヨシモトコウムテン</t>
    </rPh>
    <phoneticPr fontId="1"/>
  </si>
  <si>
    <t>北村ビル屋上防水工事</t>
    <rPh sb="0" eb="2">
      <t>キタムラ</t>
    </rPh>
    <rPh sb="4" eb="8">
      <t>オクジョウボウスイ</t>
    </rPh>
    <rPh sb="8" eb="10">
      <t>コウジ</t>
    </rPh>
    <phoneticPr fontId="1"/>
  </si>
  <si>
    <t>７日</t>
    <rPh sb="1" eb="2">
      <t>ニチ</t>
    </rPh>
    <phoneticPr fontId="1"/>
  </si>
  <si>
    <t>本体</t>
    <rPh sb="0" eb="2">
      <t>ホンタイ</t>
    </rPh>
    <phoneticPr fontId="1"/>
  </si>
  <si>
    <t>蒼林技建</t>
    <rPh sb="0" eb="1">
      <t>アオイ</t>
    </rPh>
    <rPh sb="1" eb="4">
      <t>ハヤシギケン</t>
    </rPh>
    <phoneticPr fontId="1"/>
  </si>
  <si>
    <t>第三者ツチヤビル防水工事</t>
    <rPh sb="0" eb="3">
      <t>ダイサンシャ</t>
    </rPh>
    <rPh sb="8" eb="12">
      <t>ボウスイコウジ</t>
    </rPh>
    <phoneticPr fontId="1"/>
  </si>
  <si>
    <t>20日</t>
    <rPh sb="2" eb="3">
      <t>ニチ</t>
    </rPh>
    <phoneticPr fontId="1"/>
  </si>
  <si>
    <t>宮井ポンプ場屋根防水改修工事</t>
    <rPh sb="0" eb="2">
      <t>ミヤイ</t>
    </rPh>
    <rPh sb="5" eb="6">
      <t>ジョウ</t>
    </rPh>
    <rPh sb="6" eb="8">
      <t>ヤネ</t>
    </rPh>
    <rPh sb="8" eb="10">
      <t>ボウスイ</t>
    </rPh>
    <rPh sb="10" eb="14">
      <t>カイシュウコウジ</t>
    </rPh>
    <phoneticPr fontId="1"/>
  </si>
  <si>
    <t>30日</t>
    <rPh sb="2" eb="3">
      <t>ニチ</t>
    </rPh>
    <phoneticPr fontId="1"/>
  </si>
  <si>
    <t>増減あり
交通費 荷揚げ費</t>
    <rPh sb="5" eb="8">
      <t>コウツウヒ</t>
    </rPh>
    <rPh sb="9" eb="11">
      <t>ニア</t>
    </rPh>
    <rPh sb="12" eb="13">
      <t>ヒ</t>
    </rPh>
    <phoneticPr fontId="1"/>
  </si>
  <si>
    <t>中島事務所ビル</t>
    <rPh sb="0" eb="2">
      <t>ナカジマ</t>
    </rPh>
    <rPh sb="2" eb="5">
      <t>ジムショ</t>
    </rPh>
    <phoneticPr fontId="1"/>
  </si>
  <si>
    <t>プランドール住吉</t>
    <rPh sb="6" eb="8">
      <t>スミヨシ</t>
    </rPh>
    <phoneticPr fontId="1"/>
  </si>
  <si>
    <t>7日</t>
    <rPh sb="1" eb="2">
      <t>ニチ</t>
    </rPh>
    <phoneticPr fontId="1"/>
  </si>
  <si>
    <t>義徹テック</t>
    <rPh sb="0" eb="2">
      <t>ギテツ</t>
    </rPh>
    <phoneticPr fontId="1"/>
  </si>
  <si>
    <t>２０日</t>
    <rPh sb="2" eb="3">
      <t>ニチ</t>
    </rPh>
    <phoneticPr fontId="1"/>
  </si>
  <si>
    <t>大阪技研工業</t>
    <rPh sb="0" eb="6">
      <t>オオサカギケンコウギョウ</t>
    </rPh>
    <phoneticPr fontId="1"/>
  </si>
  <si>
    <t>グランツ新大阪大規模修繕工事</t>
    <rPh sb="4" eb="7">
      <t>シンオオサカ</t>
    </rPh>
    <rPh sb="7" eb="14">
      <t>ダイキボシュウゼンコウジ</t>
    </rPh>
    <phoneticPr fontId="1"/>
  </si>
  <si>
    <t>20日</t>
    <rPh sb="2" eb="3">
      <t>ニチ</t>
    </rPh>
    <phoneticPr fontId="1"/>
  </si>
  <si>
    <t>本体（金物撤去）</t>
    <rPh sb="0" eb="2">
      <t>ホンタイ</t>
    </rPh>
    <rPh sb="3" eb="7">
      <t>カナモノテッキョ</t>
    </rPh>
    <phoneticPr fontId="1"/>
  </si>
  <si>
    <t>山昇</t>
    <rPh sb="0" eb="1">
      <t>ヤマ</t>
    </rPh>
    <rPh sb="1" eb="2">
      <t>ノボル</t>
    </rPh>
    <phoneticPr fontId="1"/>
  </si>
  <si>
    <t>亀田様邸</t>
    <rPh sb="0" eb="2">
      <t>カメダ</t>
    </rPh>
    <rPh sb="2" eb="4">
      <t>サマテイ</t>
    </rPh>
    <phoneticPr fontId="1"/>
  </si>
  <si>
    <t>本体</t>
    <rPh sb="0" eb="2">
      <t>ホンタイ</t>
    </rPh>
    <phoneticPr fontId="1"/>
  </si>
  <si>
    <t>坂本喜志様邸防水工事</t>
    <rPh sb="0" eb="2">
      <t>サカモト</t>
    </rPh>
    <rPh sb="2" eb="4">
      <t>キシ</t>
    </rPh>
    <rPh sb="4" eb="6">
      <t>サマテイ</t>
    </rPh>
    <rPh sb="6" eb="10">
      <t>ボウスイコウジ</t>
    </rPh>
    <phoneticPr fontId="1"/>
  </si>
  <si>
    <t>ミリオンタウン伊丹荒牧店(塩ビ)</t>
    <rPh sb="7" eb="9">
      <t>イタミ</t>
    </rPh>
    <rPh sb="9" eb="11">
      <t>アラマキ</t>
    </rPh>
    <rPh sb="11" eb="12">
      <t>テン</t>
    </rPh>
    <rPh sb="13" eb="14">
      <t>エン</t>
    </rPh>
    <phoneticPr fontId="1"/>
  </si>
  <si>
    <t>ミリオンタウン伊丹荒牧店(シーリング)</t>
    <rPh sb="7" eb="9">
      <t>イタミ</t>
    </rPh>
    <rPh sb="9" eb="11">
      <t>アラマキ</t>
    </rPh>
    <rPh sb="11" eb="12">
      <t>テン</t>
    </rPh>
    <phoneticPr fontId="1"/>
  </si>
  <si>
    <t>靱本町テナントビル</t>
    <rPh sb="0" eb="3">
      <t>ウツボホンマチ</t>
    </rPh>
    <phoneticPr fontId="1"/>
  </si>
  <si>
    <t>東洋機器工業第二工場</t>
    <rPh sb="0" eb="6">
      <t>トウヨウキキコウギョウ</t>
    </rPh>
    <rPh sb="6" eb="10">
      <t>ダイニコウジョウ</t>
    </rPh>
    <phoneticPr fontId="1"/>
  </si>
  <si>
    <t>東洋機器工業</t>
    <rPh sb="0" eb="6">
      <t>トウヨウキキコウギョウ</t>
    </rPh>
    <phoneticPr fontId="1"/>
  </si>
  <si>
    <t>住吉納税協会</t>
    <rPh sb="0" eb="2">
      <t>スミヨシ</t>
    </rPh>
    <rPh sb="2" eb="6">
      <t>ノウゼイキョウカイ</t>
    </rPh>
    <phoneticPr fontId="1"/>
  </si>
  <si>
    <t>福井様邸防水工事</t>
    <rPh sb="0" eb="4">
      <t>フクイサマテイ</t>
    </rPh>
    <rPh sb="4" eb="8">
      <t>ボウスイコウジ</t>
    </rPh>
    <phoneticPr fontId="1"/>
  </si>
  <si>
    <t>鳳小学校屋上補修工事</t>
    <rPh sb="0" eb="6">
      <t>オオトリショウガッコウオクジョウ</t>
    </rPh>
    <rPh sb="6" eb="10">
      <t>ホシュウコウジ</t>
    </rPh>
    <phoneticPr fontId="1"/>
  </si>
  <si>
    <t>足利北新築工事</t>
    <rPh sb="0" eb="3">
      <t>アシカガキタ</t>
    </rPh>
    <rPh sb="3" eb="7">
      <t>シンチクコウジ</t>
    </rPh>
    <phoneticPr fontId="1"/>
  </si>
  <si>
    <t>柴田塗装店</t>
    <rPh sb="0" eb="5">
      <t>シバタトソウテン</t>
    </rPh>
    <phoneticPr fontId="1"/>
  </si>
  <si>
    <t>百舌鳥某現場</t>
    <rPh sb="0" eb="3">
      <t>モズ</t>
    </rPh>
    <rPh sb="3" eb="6">
      <t>ボウゲンバ</t>
    </rPh>
    <phoneticPr fontId="1"/>
  </si>
  <si>
    <t>守口市民体育館防水工事</t>
    <rPh sb="0" eb="2">
      <t>モリグチ</t>
    </rPh>
    <rPh sb="2" eb="7">
      <t>シミンタイイクカン</t>
    </rPh>
    <rPh sb="7" eb="11">
      <t>ボウスイコウジ</t>
    </rPh>
    <phoneticPr fontId="1"/>
  </si>
  <si>
    <t>４日</t>
    <rPh sb="1" eb="2">
      <t>ニチ</t>
    </rPh>
    <phoneticPr fontId="1"/>
  </si>
  <si>
    <t>下野様邸防水工事（福井）</t>
    <rPh sb="0" eb="4">
      <t>シモノサマテイ</t>
    </rPh>
    <rPh sb="4" eb="6">
      <t>ボウスイ</t>
    </rPh>
    <rPh sb="6" eb="8">
      <t>コウジ</t>
    </rPh>
    <rPh sb="9" eb="11">
      <t>フクイ</t>
    </rPh>
    <phoneticPr fontId="1"/>
  </si>
  <si>
    <t>河内屋ビル改修工事</t>
    <rPh sb="0" eb="3">
      <t>カワチヤ</t>
    </rPh>
    <rPh sb="5" eb="9">
      <t>カイシュウコウジ</t>
    </rPh>
    <phoneticPr fontId="1"/>
  </si>
  <si>
    <t>甲南高校改修工事</t>
    <rPh sb="0" eb="2">
      <t>コウナン</t>
    </rPh>
    <rPh sb="2" eb="4">
      <t>コウコウ</t>
    </rPh>
    <rPh sb="4" eb="6">
      <t>カイシュウ</t>
    </rPh>
    <rPh sb="6" eb="8">
      <t>コウジ</t>
    </rPh>
    <phoneticPr fontId="1"/>
  </si>
  <si>
    <t>ｋ２</t>
    <phoneticPr fontId="1"/>
  </si>
  <si>
    <t>JR高槻駅前新築工事</t>
    <rPh sb="2" eb="4">
      <t>タカツキ</t>
    </rPh>
    <rPh sb="4" eb="6">
      <t>エキマエ</t>
    </rPh>
    <rPh sb="6" eb="8">
      <t>シンチク</t>
    </rPh>
    <rPh sb="8" eb="10">
      <t>コウジ</t>
    </rPh>
    <phoneticPr fontId="1"/>
  </si>
  <si>
    <t>万代荒本店新築工事</t>
    <rPh sb="0" eb="2">
      <t>マンダイ</t>
    </rPh>
    <rPh sb="2" eb="4">
      <t>アラモト</t>
    </rPh>
    <rPh sb="4" eb="5">
      <t>テン</t>
    </rPh>
    <rPh sb="5" eb="9">
      <t>シンチクコウジ</t>
    </rPh>
    <phoneticPr fontId="1"/>
  </si>
  <si>
    <t>建防</t>
    <rPh sb="0" eb="1">
      <t>タ</t>
    </rPh>
    <rPh sb="1" eb="2">
      <t>ボウ</t>
    </rPh>
    <phoneticPr fontId="1"/>
  </si>
  <si>
    <t>悠楽園防水工事</t>
    <rPh sb="0" eb="3">
      <t>ユウラクエン</t>
    </rPh>
    <rPh sb="3" eb="7">
      <t>ボウスイコウジ</t>
    </rPh>
    <phoneticPr fontId="1"/>
  </si>
  <si>
    <t>（仮称）マルアイ梅井改装工事</t>
    <phoneticPr fontId="1"/>
  </si>
  <si>
    <t>メゾンベール六甲山手</t>
    <phoneticPr fontId="1"/>
  </si>
  <si>
    <t>山昇</t>
    <rPh sb="0" eb="2">
      <t>ヤマ</t>
    </rPh>
    <phoneticPr fontId="1"/>
  </si>
  <si>
    <t>大阪市東成区東中本計画新築工事</t>
    <rPh sb="0" eb="3">
      <t>オオサカシ</t>
    </rPh>
    <rPh sb="3" eb="6">
      <t>ヒガシナリク</t>
    </rPh>
    <rPh sb="6" eb="7">
      <t>ヒガシ</t>
    </rPh>
    <rPh sb="7" eb="9">
      <t>ナカモト</t>
    </rPh>
    <rPh sb="9" eb="13">
      <t>ケイカクシンチク</t>
    </rPh>
    <rPh sb="13" eb="15">
      <t>コウジ</t>
    </rPh>
    <phoneticPr fontId="1"/>
  </si>
  <si>
    <t>京橋サウスビル</t>
    <rPh sb="0" eb="2">
      <t>キョウバシ</t>
    </rPh>
    <phoneticPr fontId="1"/>
  </si>
  <si>
    <t>大阪技研工業</t>
    <rPh sb="0" eb="2">
      <t>オオサカ</t>
    </rPh>
    <rPh sb="2" eb="6">
      <t>ギケンコウギョウ</t>
    </rPh>
    <phoneticPr fontId="1"/>
  </si>
  <si>
    <t>清算工事</t>
    <rPh sb="0" eb="4">
      <t>セイサンコウジ</t>
    </rPh>
    <phoneticPr fontId="1"/>
  </si>
  <si>
    <t>鈴木様邸</t>
    <rPh sb="0" eb="4">
      <t>スズキサマテイ</t>
    </rPh>
    <phoneticPr fontId="1"/>
  </si>
  <si>
    <t>村瀬様邸</t>
    <rPh sb="0" eb="2">
      <t>ムラセ</t>
    </rPh>
    <rPh sb="2" eb="4">
      <t>サマテイ</t>
    </rPh>
    <phoneticPr fontId="1"/>
  </si>
  <si>
    <t>サンメゾン二反田</t>
    <rPh sb="5" eb="8">
      <t>ニタンダ</t>
    </rPh>
    <phoneticPr fontId="1"/>
  </si>
  <si>
    <t>杉本建装工業</t>
    <rPh sb="0" eb="6">
      <t>スギモトケンソウコウギョウ</t>
    </rPh>
    <phoneticPr fontId="1"/>
  </si>
  <si>
    <t>ジョイフルカワイ防水工事</t>
    <rPh sb="8" eb="12">
      <t>ボウスイコウジ</t>
    </rPh>
    <phoneticPr fontId="1"/>
  </si>
  <si>
    <t>京都刑務所防水工事</t>
    <rPh sb="0" eb="5">
      <t>キョウトケイムショ</t>
    </rPh>
    <rPh sb="5" eb="9">
      <t>ボウスイコウジ</t>
    </rPh>
    <phoneticPr fontId="1"/>
  </si>
  <si>
    <t>御幣島4丁目計画新築工事</t>
    <rPh sb="0" eb="3">
      <t>ミテジマ</t>
    </rPh>
    <rPh sb="4" eb="6">
      <t>チョウメ</t>
    </rPh>
    <rPh sb="6" eb="8">
      <t>ケイカク</t>
    </rPh>
    <rPh sb="8" eb="10">
      <t>シンチク</t>
    </rPh>
    <rPh sb="10" eb="12">
      <t>コウジ</t>
    </rPh>
    <phoneticPr fontId="1"/>
  </si>
  <si>
    <t>義徹</t>
    <rPh sb="0" eb="2">
      <t>ギテツ</t>
    </rPh>
    <phoneticPr fontId="1"/>
  </si>
  <si>
    <t>レオパレス東今里</t>
    <rPh sb="5" eb="6">
      <t>ヒガシ</t>
    </rPh>
    <rPh sb="6" eb="8">
      <t>イマザト</t>
    </rPh>
    <phoneticPr fontId="1"/>
  </si>
  <si>
    <t>建防</t>
    <rPh sb="0" eb="2">
      <t>ケンボウ</t>
    </rPh>
    <phoneticPr fontId="1"/>
  </si>
  <si>
    <t>足立様邸防水工事</t>
    <rPh sb="0" eb="3">
      <t>アダチサマ</t>
    </rPh>
    <rPh sb="3" eb="4">
      <t>テイ</t>
    </rPh>
    <rPh sb="4" eb="8">
      <t>ボウスイコウジ</t>
    </rPh>
    <phoneticPr fontId="1"/>
  </si>
  <si>
    <t>37日</t>
    <rPh sb="2" eb="3">
      <t>ニチ</t>
    </rPh>
    <phoneticPr fontId="1"/>
  </si>
  <si>
    <t>岩見様邸防水工事</t>
    <rPh sb="0" eb="4">
      <t>イワミサマテイ</t>
    </rPh>
    <rPh sb="4" eb="8">
      <t>ボウスイコウジ</t>
    </rPh>
    <phoneticPr fontId="1"/>
  </si>
  <si>
    <t>センプレヴィータ南甲子園</t>
    <rPh sb="8" eb="12">
      <t>ミナミコウシエン</t>
    </rPh>
    <phoneticPr fontId="1"/>
  </si>
  <si>
    <t>リプレイス</t>
    <phoneticPr fontId="1"/>
  </si>
  <si>
    <t>レオパレス千鳥橋</t>
    <rPh sb="5" eb="7">
      <t>チドリ</t>
    </rPh>
    <rPh sb="7" eb="8">
      <t>バシ</t>
    </rPh>
    <phoneticPr fontId="1"/>
  </si>
  <si>
    <t>レオパレスジョイフル</t>
    <phoneticPr fontId="1"/>
  </si>
  <si>
    <t>林様邸防水工事</t>
    <rPh sb="0" eb="3">
      <t>ハヤシサマテイ</t>
    </rPh>
    <rPh sb="3" eb="7">
      <t>ボウスイコウジ</t>
    </rPh>
    <phoneticPr fontId="1"/>
  </si>
  <si>
    <t>レオパレスジョイフルカワイ</t>
    <phoneticPr fontId="1"/>
  </si>
  <si>
    <t>レオパレス千鳥橋</t>
    <rPh sb="5" eb="8">
      <t>チドリハシ</t>
    </rPh>
    <phoneticPr fontId="1"/>
  </si>
  <si>
    <t>中の島公園</t>
    <rPh sb="0" eb="1">
      <t>ナカ</t>
    </rPh>
    <rPh sb="2" eb="3">
      <t>シマ</t>
    </rPh>
    <rPh sb="3" eb="5">
      <t>コウエン</t>
    </rPh>
    <phoneticPr fontId="1"/>
  </si>
  <si>
    <t>枚方市光善寺</t>
    <rPh sb="0" eb="3">
      <t>ヒラカタシ</t>
    </rPh>
    <rPh sb="3" eb="6">
      <t>コウゼンジ</t>
    </rPh>
    <phoneticPr fontId="1"/>
  </si>
  <si>
    <t>リトラス関西支店</t>
    <rPh sb="4" eb="6">
      <t>カンサイ</t>
    </rPh>
    <rPh sb="6" eb="8">
      <t>シテン</t>
    </rPh>
    <phoneticPr fontId="1"/>
  </si>
  <si>
    <t>三島倉庫新築工事</t>
    <rPh sb="0" eb="2">
      <t>ミシマ</t>
    </rPh>
    <rPh sb="2" eb="4">
      <t>ソウコ</t>
    </rPh>
    <rPh sb="4" eb="6">
      <t>シンチク</t>
    </rPh>
    <rPh sb="6" eb="8">
      <t>コウジ</t>
    </rPh>
    <phoneticPr fontId="1"/>
  </si>
  <si>
    <t>テニススクール・ノア尼崎塚口校</t>
    <rPh sb="10" eb="12">
      <t>アマガサキ</t>
    </rPh>
    <rPh sb="12" eb="14">
      <t>ツカグチ</t>
    </rPh>
    <rPh sb="14" eb="15">
      <t>コウ</t>
    </rPh>
    <phoneticPr fontId="1"/>
  </si>
  <si>
    <t>京都教育保育園</t>
    <rPh sb="0" eb="2">
      <t>キョウト</t>
    </rPh>
    <rPh sb="2" eb="4">
      <t>キョウイク</t>
    </rPh>
    <rPh sb="4" eb="7">
      <t>ホイクエン</t>
    </rPh>
    <phoneticPr fontId="1"/>
  </si>
  <si>
    <t>阪神TBC</t>
    <rPh sb="0" eb="2">
      <t>ハンシン</t>
    </rPh>
    <phoneticPr fontId="1"/>
  </si>
  <si>
    <t>小浜小学校</t>
    <rPh sb="0" eb="2">
      <t>コハマ</t>
    </rPh>
    <rPh sb="2" eb="5">
      <t>ショウガッコウ</t>
    </rPh>
    <phoneticPr fontId="1"/>
  </si>
  <si>
    <t>白寿園</t>
    <rPh sb="0" eb="2">
      <t>ハクジュ</t>
    </rPh>
    <rPh sb="2" eb="3">
      <t>エン</t>
    </rPh>
    <phoneticPr fontId="1"/>
  </si>
  <si>
    <t>コーポ南加賀屋</t>
    <rPh sb="3" eb="4">
      <t>ミナミ</t>
    </rPh>
    <rPh sb="4" eb="7">
      <t>カガヤ</t>
    </rPh>
    <phoneticPr fontId="1"/>
  </si>
  <si>
    <t>シェルプール２番館</t>
    <rPh sb="7" eb="9">
      <t>バンカン</t>
    </rPh>
    <phoneticPr fontId="1"/>
  </si>
  <si>
    <t>千船グレース</t>
    <rPh sb="0" eb="2">
      <t>チブネ</t>
    </rPh>
    <phoneticPr fontId="1"/>
  </si>
  <si>
    <t>長堂新築工事</t>
    <rPh sb="0" eb="2">
      <t>チョウドウ</t>
    </rPh>
    <rPh sb="2" eb="4">
      <t>シンチク</t>
    </rPh>
    <rPh sb="4" eb="6">
      <t>コウジ</t>
    </rPh>
    <phoneticPr fontId="1"/>
  </si>
  <si>
    <t>足代新築工事</t>
    <rPh sb="0" eb="2">
      <t>アジロ</t>
    </rPh>
    <rPh sb="2" eb="4">
      <t>シンチク</t>
    </rPh>
    <rPh sb="4" eb="6">
      <t>コウジ</t>
    </rPh>
    <phoneticPr fontId="1"/>
  </si>
  <si>
    <t>宗川様邸</t>
    <rPh sb="0" eb="1">
      <t>ムネ</t>
    </rPh>
    <rPh sb="1" eb="2">
      <t>カワ</t>
    </rPh>
    <rPh sb="2" eb="4">
      <t>サマテイ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</si>
</sst>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0.0%"/>
    <numFmt numFmtId="177" formatCode="&quot;¥&quot;#,##0_);[Red]\(&quot;¥&quot;#,##0\)"/>
    <numFmt numFmtId="178" formatCode="@&quot;日&quot;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8"/>
      <color rgb="FFFF0000"/>
      <name val="游ゴシック"/>
      <family val="2"/>
      <charset val="128"/>
      <scheme val="minor"/>
    </font>
    <font>
      <sz val="11"/>
      <color theme="4" tint="-0.249977111117893"/>
      <name val="游ゴシック"/>
      <family val="2"/>
      <charset val="128"/>
      <scheme val="minor"/>
    </font>
    <font>
      <sz val="12"/>
      <color theme="4" tint="-0.249977111117893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dotted">
        <color auto="1"/>
      </right>
      <top/>
      <bottom style="dashDot">
        <color auto="1"/>
      </bottom>
      <diagonal/>
    </border>
    <border>
      <left style="dotted">
        <color auto="1"/>
      </left>
      <right style="dotted">
        <color auto="1"/>
      </right>
      <top/>
      <bottom style="dashDot">
        <color auto="1"/>
      </bottom>
      <diagonal/>
    </border>
    <border>
      <left style="dotted">
        <color auto="1"/>
      </left>
      <right/>
      <top/>
      <bottom style="dashDot">
        <color auto="1"/>
      </bottom>
      <diagonal/>
    </border>
    <border>
      <left/>
      <right style="dotted">
        <color auto="1"/>
      </right>
      <top style="dashDot">
        <color auto="1"/>
      </top>
      <bottom style="dashDot">
        <color auto="1"/>
      </bottom>
      <diagonal/>
    </border>
    <border>
      <left style="dotted">
        <color auto="1"/>
      </left>
      <right style="dotted">
        <color auto="1"/>
      </right>
      <top style="dashDot">
        <color auto="1"/>
      </top>
      <bottom style="dashDot">
        <color auto="1"/>
      </bottom>
      <diagonal/>
    </border>
    <border>
      <left style="dotted">
        <color auto="1"/>
      </left>
      <right/>
      <top style="dashDot">
        <color auto="1"/>
      </top>
      <bottom style="dashDot">
        <color auto="1"/>
      </bottom>
      <diagonal/>
    </border>
    <border>
      <left/>
      <right style="dotted">
        <color auto="1"/>
      </right>
      <top style="dashDot">
        <color auto="1"/>
      </top>
      <bottom/>
      <diagonal/>
    </border>
    <border>
      <left style="dotted">
        <color auto="1"/>
      </left>
      <right style="dotted">
        <color auto="1"/>
      </right>
      <top style="dashDot">
        <color auto="1"/>
      </top>
      <bottom/>
      <diagonal/>
    </border>
    <border>
      <left style="dotted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 style="dashDot">
        <color auto="1"/>
      </bottom>
      <diagonal/>
    </border>
    <border>
      <left/>
      <right/>
      <top/>
      <bottom style="dashDot">
        <color auto="1"/>
      </bottom>
      <diagonal/>
    </border>
    <border diagonalDown="1">
      <left/>
      <right/>
      <top/>
      <bottom/>
      <diagonal style="thin">
        <color auto="1"/>
      </diagonal>
    </border>
    <border diagonalDown="1">
      <left/>
      <right style="dotted">
        <color auto="1"/>
      </right>
      <top style="dashDot">
        <color auto="1"/>
      </top>
      <bottom style="dashDot">
        <color auto="1"/>
      </bottom>
      <diagonal style="thin">
        <color auto="1"/>
      </diagonal>
    </border>
    <border diagonalDown="1">
      <left style="dotted">
        <color auto="1"/>
      </left>
      <right style="dotted">
        <color auto="1"/>
      </right>
      <top style="dashDot">
        <color auto="1"/>
      </top>
      <bottom style="dashDot">
        <color auto="1"/>
      </bottom>
      <diagonal style="thin">
        <color auto="1"/>
      </diagonal>
    </border>
    <border diagonalDown="1">
      <left style="dotted">
        <color auto="1"/>
      </left>
      <right/>
      <top style="dashDot">
        <color auto="1"/>
      </top>
      <bottom style="dashDot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56" fontId="0" fillId="0" borderId="6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0" xfId="0" applyFill="1" applyBorder="1">
      <alignment vertical="center"/>
    </xf>
    <xf numFmtId="0" fontId="0" fillId="2" borderId="4" xfId="0" applyFill="1" applyBorder="1">
      <alignment vertical="center"/>
    </xf>
    <xf numFmtId="56" fontId="0" fillId="2" borderId="5" xfId="0" applyNumberForma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2" fillId="0" borderId="10" xfId="0" applyFont="1" applyBorder="1">
      <alignment vertical="center"/>
    </xf>
    <xf numFmtId="0" fontId="0" fillId="3" borderId="10" xfId="0" applyFill="1" applyBorder="1">
      <alignment vertical="center"/>
    </xf>
    <xf numFmtId="0" fontId="0" fillId="4" borderId="10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4" xfId="0" applyFill="1" applyBorder="1">
      <alignment vertical="center"/>
    </xf>
    <xf numFmtId="56" fontId="0" fillId="2" borderId="6" xfId="0" applyNumberFormat="1" applyFill="1" applyBorder="1">
      <alignment vertical="center"/>
    </xf>
    <xf numFmtId="0" fontId="3" fillId="0" borderId="10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56" fontId="0" fillId="0" borderId="10" xfId="0" applyNumberFormat="1" applyBorder="1">
      <alignment vertical="center"/>
    </xf>
    <xf numFmtId="5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0" borderId="13" xfId="0" applyBorder="1">
      <alignment vertical="center"/>
    </xf>
    <xf numFmtId="56" fontId="0" fillId="0" borderId="14" xfId="0" applyNumberFormat="1" applyBorder="1">
      <alignment vertical="center"/>
    </xf>
    <xf numFmtId="0" fontId="0" fillId="0" borderId="14" xfId="0" applyBorder="1">
      <alignment vertical="center"/>
    </xf>
    <xf numFmtId="56" fontId="0" fillId="0" borderId="15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2" xfId="0" applyNumberFormat="1" applyBorder="1">
      <alignment vertical="center"/>
    </xf>
    <xf numFmtId="176" fontId="6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177" fontId="0" fillId="0" borderId="0" xfId="0" applyNumberFormat="1">
      <alignment vertical="center"/>
    </xf>
    <xf numFmtId="0" fontId="5" fillId="0" borderId="0" xfId="0" applyFont="1" applyAlignment="1">
      <alignment horizontal="center" vertical="center"/>
    </xf>
    <xf numFmtId="178" fontId="0" fillId="0" borderId="5" xfId="0" applyNumberFormat="1" applyBorder="1">
      <alignment vertical="center"/>
    </xf>
    <xf numFmtId="176" fontId="7" fillId="0" borderId="0" xfId="0" applyNumberFormat="1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 wrapText="1"/>
    </xf>
    <xf numFmtId="0" fontId="0" fillId="7" borderId="10" xfId="0" applyFill="1" applyBorder="1">
      <alignment vertical="center"/>
    </xf>
    <xf numFmtId="0" fontId="0" fillId="7" borderId="4" xfId="0" applyFill="1" applyBorder="1">
      <alignment vertical="center"/>
    </xf>
    <xf numFmtId="56" fontId="0" fillId="7" borderId="5" xfId="0" applyNumberFormat="1" applyFill="1" applyBorder="1">
      <alignment vertical="center"/>
    </xf>
    <xf numFmtId="0" fontId="0" fillId="7" borderId="5" xfId="0" applyFill="1" applyBorder="1">
      <alignment vertical="center"/>
    </xf>
    <xf numFmtId="56" fontId="0" fillId="7" borderId="6" xfId="0" applyNumberFormat="1" applyFill="1" applyBorder="1">
      <alignment vertical="center"/>
    </xf>
    <xf numFmtId="0" fontId="0" fillId="7" borderId="0" xfId="0" applyFill="1">
      <alignment vertical="center"/>
    </xf>
    <xf numFmtId="176" fontId="0" fillId="7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177" fontId="0" fillId="7" borderId="0" xfId="0" applyNumberFormat="1" applyFill="1">
      <alignment vertical="center"/>
    </xf>
    <xf numFmtId="176" fontId="8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77" fontId="0" fillId="0" borderId="12" xfId="0" applyNumberFormat="1" applyBorder="1">
      <alignment vertical="center"/>
    </xf>
    <xf numFmtId="177" fontId="0" fillId="2" borderId="0" xfId="0" applyNumberFormat="1" applyFill="1">
      <alignment vertical="center"/>
    </xf>
    <xf numFmtId="177" fontId="7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7" fontId="0" fillId="2" borderId="0" xfId="0" applyNumberFormat="1" applyFill="1" applyAlignment="1">
      <alignment horizontal="center" vertical="center"/>
    </xf>
    <xf numFmtId="56" fontId="0" fillId="0" borderId="5" xfId="0" applyNumberFormat="1" applyBorder="1" applyAlignment="1">
      <alignment horizontal="right" vertical="center"/>
    </xf>
    <xf numFmtId="0" fontId="4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0" fillId="5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6" fontId="12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0" fontId="0" fillId="6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03EE-E3A2-44D7-81C3-B5FFDE023AA0}">
  <dimension ref="A1:V221"/>
  <sheetViews>
    <sheetView tabSelected="1" zoomScale="85" zoomScaleNormal="85" workbookViewId="0">
      <pane ySplit="1" topLeftCell="A89" activePane="bottomLeft" state="frozen"/>
      <selection pane="bottomLeft" activeCell="E103" sqref="E103"/>
    </sheetView>
  </sheetViews>
  <sheetFormatPr defaultRowHeight="18.75" x14ac:dyDescent="0.4"/>
  <cols>
    <col min="1" max="1" width="24.25" customWidth="1"/>
    <col min="2" max="2" width="44" customWidth="1"/>
    <col min="3" max="3" width="12.25" customWidth="1"/>
    <col min="4" max="4" width="11.125" customWidth="1"/>
    <col min="5" max="5" width="11.625" customWidth="1"/>
    <col min="6" max="6" width="8.125" customWidth="1"/>
    <col min="7" max="7" width="14.625" style="53" customWidth="1"/>
    <col min="8" max="8" width="9.5" style="49" customWidth="1"/>
    <col min="9" max="9" width="13.125" style="53" customWidth="1"/>
    <col min="10" max="10" width="12.625" style="53" customWidth="1"/>
    <col min="11" max="11" width="12.375" style="26" customWidth="1"/>
    <col min="12" max="12" width="12.375" style="53" customWidth="1"/>
    <col min="13" max="13" width="12.375" style="26" customWidth="1"/>
    <col min="14" max="14" width="12.375" style="53" customWidth="1"/>
    <col min="15" max="15" width="12.375" customWidth="1"/>
    <col min="16" max="16" width="12.375" style="53" customWidth="1"/>
    <col min="17" max="17" width="12.375" customWidth="1"/>
    <col min="18" max="18" width="12.375" style="53" customWidth="1"/>
    <col min="19" max="22" width="12.375" customWidth="1"/>
  </cols>
  <sheetData>
    <row r="1" spans="1:22" s="47" customFormat="1" ht="27.75" customHeight="1" x14ac:dyDescent="0.4">
      <c r="A1" s="42" t="s">
        <v>41</v>
      </c>
      <c r="B1" s="43" t="s">
        <v>0</v>
      </c>
      <c r="C1" s="44" t="s">
        <v>1</v>
      </c>
      <c r="D1" s="44" t="s">
        <v>2</v>
      </c>
      <c r="E1" s="45" t="s">
        <v>3</v>
      </c>
      <c r="F1" s="46"/>
      <c r="G1" s="70" t="s">
        <v>171</v>
      </c>
      <c r="H1" s="48" t="s">
        <v>243</v>
      </c>
      <c r="I1" s="70" t="s">
        <v>242</v>
      </c>
      <c r="J1" s="70" t="s">
        <v>241</v>
      </c>
      <c r="K1" s="87" t="s">
        <v>213</v>
      </c>
      <c r="L1" s="87"/>
      <c r="M1" s="87" t="s">
        <v>213</v>
      </c>
      <c r="N1" s="87"/>
      <c r="O1" s="87" t="s">
        <v>213</v>
      </c>
      <c r="P1" s="87"/>
      <c r="Q1" s="87" t="s">
        <v>213</v>
      </c>
      <c r="R1" s="87"/>
      <c r="S1" s="87" t="s">
        <v>213</v>
      </c>
      <c r="T1" s="87"/>
      <c r="U1" s="87" t="s">
        <v>213</v>
      </c>
      <c r="V1" s="87"/>
    </row>
    <row r="2" spans="1:22" ht="27.75" customHeight="1" x14ac:dyDescent="0.4">
      <c r="A2" s="12" t="s">
        <v>45</v>
      </c>
      <c r="B2" s="4" t="s">
        <v>212</v>
      </c>
      <c r="C2" s="11">
        <v>46027</v>
      </c>
      <c r="D2" s="5" t="s">
        <v>20</v>
      </c>
      <c r="E2" s="10">
        <v>46047</v>
      </c>
      <c r="G2" s="53">
        <v>1259259</v>
      </c>
      <c r="H2" s="51">
        <f>I2/G2</f>
        <v>8.0892810772049281E-2</v>
      </c>
      <c r="I2" s="53">
        <f>G2-J2-L2-N2-P2-R2-T2-V2</f>
        <v>101865</v>
      </c>
      <c r="J2" s="53">
        <v>13574</v>
      </c>
      <c r="K2" s="26" t="s">
        <v>99</v>
      </c>
      <c r="L2" s="53">
        <v>603820</v>
      </c>
      <c r="M2" s="26" t="s">
        <v>249</v>
      </c>
      <c r="N2" s="53">
        <v>540000</v>
      </c>
      <c r="O2" s="26"/>
      <c r="Q2" s="26"/>
      <c r="S2" s="26"/>
      <c r="T2" s="29"/>
      <c r="U2" s="26"/>
      <c r="V2" s="29"/>
    </row>
    <row r="3" spans="1:22" ht="27.75" customHeight="1" x14ac:dyDescent="0.4">
      <c r="A3" s="12" t="s">
        <v>175</v>
      </c>
      <c r="B3" s="4" t="s">
        <v>191</v>
      </c>
      <c r="C3" s="11">
        <v>46028</v>
      </c>
      <c r="D3" s="5" t="s">
        <v>82</v>
      </c>
      <c r="E3" s="10">
        <v>45673</v>
      </c>
      <c r="G3" s="53">
        <v>1300000</v>
      </c>
      <c r="H3" s="49">
        <f>I3/G3</f>
        <v>0.26923076923076922</v>
      </c>
      <c r="I3" s="53">
        <f>G3-J3-L3-N3-P3-R3-T3-V3</f>
        <v>350000</v>
      </c>
      <c r="J3" s="71"/>
      <c r="K3" s="26" t="s">
        <v>214</v>
      </c>
      <c r="L3" s="53">
        <v>950000</v>
      </c>
      <c r="O3" s="26"/>
      <c r="Q3" s="26"/>
      <c r="S3" s="26"/>
      <c r="T3" s="29"/>
      <c r="U3" s="26"/>
      <c r="V3" s="29"/>
    </row>
    <row r="4" spans="1:22" ht="27.75" customHeight="1" x14ac:dyDescent="0.4">
      <c r="A4" s="12" t="s">
        <v>46</v>
      </c>
      <c r="B4" s="4" t="s">
        <v>150</v>
      </c>
      <c r="C4" s="11">
        <v>46029</v>
      </c>
      <c r="D4" s="5" t="s">
        <v>152</v>
      </c>
      <c r="E4" s="10">
        <v>45681</v>
      </c>
      <c r="G4" s="53">
        <v>3553983</v>
      </c>
      <c r="H4" s="68">
        <v>0.22</v>
      </c>
      <c r="I4" s="53">
        <f>G4-J4-L4-N4-P4-R4-T4-V4</f>
        <v>1557738</v>
      </c>
      <c r="K4" s="26" t="s">
        <v>99</v>
      </c>
      <c r="L4" s="53">
        <v>330000</v>
      </c>
      <c r="M4" s="26" t="s">
        <v>214</v>
      </c>
      <c r="N4" s="53">
        <v>1666245</v>
      </c>
      <c r="O4" s="26"/>
      <c r="Q4" s="26"/>
      <c r="S4" s="26"/>
      <c r="T4" s="29"/>
      <c r="U4" s="26"/>
      <c r="V4" s="29"/>
    </row>
    <row r="5" spans="1:22" ht="27.75" customHeight="1" x14ac:dyDescent="0.4">
      <c r="A5" s="12" t="s">
        <v>49</v>
      </c>
      <c r="B5" s="4" t="s">
        <v>217</v>
      </c>
      <c r="C5" s="11">
        <v>46032</v>
      </c>
      <c r="D5" s="5" t="s">
        <v>92</v>
      </c>
      <c r="E5" s="10">
        <v>46037</v>
      </c>
      <c r="G5" s="53">
        <v>530000</v>
      </c>
      <c r="H5" s="51">
        <f t="shared" ref="H5:H13" si="0">I5/G5</f>
        <v>0.74867924528301888</v>
      </c>
      <c r="I5" s="53">
        <f>G5-J5-L5-N5-P5-R5-T5-V5</f>
        <v>396800</v>
      </c>
      <c r="J5" s="53">
        <v>13200</v>
      </c>
      <c r="K5" s="26" t="s">
        <v>59</v>
      </c>
      <c r="L5" s="53">
        <v>120000</v>
      </c>
      <c r="O5" s="26"/>
      <c r="Q5" s="26"/>
      <c r="S5" s="26"/>
      <c r="T5" s="29"/>
      <c r="U5" s="26"/>
      <c r="V5" s="29"/>
    </row>
    <row r="6" spans="1:22" ht="27.75" customHeight="1" x14ac:dyDescent="0.4">
      <c r="A6" s="12" t="s">
        <v>76</v>
      </c>
      <c r="B6" s="4" t="s">
        <v>75</v>
      </c>
      <c r="C6" s="11">
        <v>46035</v>
      </c>
      <c r="D6" s="5" t="s">
        <v>92</v>
      </c>
      <c r="E6" s="10">
        <v>45675</v>
      </c>
      <c r="G6" s="53">
        <v>310000</v>
      </c>
      <c r="H6" s="51">
        <f t="shared" si="0"/>
        <v>0.20380645161290323</v>
      </c>
      <c r="I6" s="53">
        <v>63180</v>
      </c>
      <c r="J6" s="71"/>
      <c r="K6" s="26" t="s">
        <v>139</v>
      </c>
      <c r="L6" s="53">
        <v>250000</v>
      </c>
      <c r="O6" s="26"/>
      <c r="Q6" s="26"/>
      <c r="S6" s="26"/>
      <c r="T6" s="29"/>
      <c r="U6" s="26"/>
      <c r="V6" s="29"/>
    </row>
    <row r="7" spans="1:22" ht="27.75" customHeight="1" x14ac:dyDescent="0.4">
      <c r="A7" s="12" t="s">
        <v>42</v>
      </c>
      <c r="B7" s="4" t="s">
        <v>206</v>
      </c>
      <c r="C7" s="11">
        <v>46040</v>
      </c>
      <c r="D7" s="5" t="s">
        <v>20</v>
      </c>
      <c r="E7" s="10">
        <v>45696</v>
      </c>
      <c r="G7" s="53">
        <v>1727273</v>
      </c>
      <c r="H7" s="51">
        <f t="shared" si="0"/>
        <v>0.18703818099397143</v>
      </c>
      <c r="I7" s="53">
        <f>G7-J7-L7-N7-P7-R7-T7-V7</f>
        <v>323066</v>
      </c>
      <c r="J7" s="53">
        <v>882207</v>
      </c>
      <c r="K7" s="40" t="s">
        <v>57</v>
      </c>
      <c r="L7" s="74">
        <v>522000</v>
      </c>
      <c r="O7" s="26"/>
      <c r="Q7" s="26"/>
      <c r="S7" s="26"/>
      <c r="T7" s="29"/>
      <c r="U7" s="26"/>
      <c r="V7" s="29"/>
    </row>
    <row r="8" spans="1:22" ht="27.75" customHeight="1" x14ac:dyDescent="0.4">
      <c r="A8" s="12" t="s">
        <v>45</v>
      </c>
      <c r="B8" s="4" t="s">
        <v>218</v>
      </c>
      <c r="C8" s="11">
        <v>46041</v>
      </c>
      <c r="D8" s="5" t="s">
        <v>219</v>
      </c>
      <c r="E8" s="10">
        <v>46047</v>
      </c>
      <c r="G8" s="53">
        <v>300000</v>
      </c>
      <c r="H8" s="51">
        <f t="shared" si="0"/>
        <v>-0.12590999999999999</v>
      </c>
      <c r="I8" s="53">
        <f>G8-J8-L8-N8-P8-R8-T8-V8</f>
        <v>-37773</v>
      </c>
      <c r="J8" s="53">
        <v>157773</v>
      </c>
      <c r="K8" s="26" t="s">
        <v>59</v>
      </c>
      <c r="L8" s="53">
        <v>180000</v>
      </c>
      <c r="O8" s="26"/>
      <c r="Q8" s="26"/>
      <c r="S8" s="26"/>
      <c r="T8" s="29"/>
      <c r="U8" s="26"/>
      <c r="V8" s="29"/>
    </row>
    <row r="9" spans="1:22" ht="27.75" customHeight="1" x14ac:dyDescent="0.4">
      <c r="A9" s="12" t="s">
        <v>222</v>
      </c>
      <c r="B9" s="4" t="s">
        <v>221</v>
      </c>
      <c r="C9" s="11">
        <v>46041</v>
      </c>
      <c r="D9" s="5" t="s">
        <v>84</v>
      </c>
      <c r="E9" s="10">
        <v>46073</v>
      </c>
      <c r="G9" s="53">
        <v>5500000</v>
      </c>
      <c r="H9" s="51">
        <f t="shared" si="0"/>
        <v>4.3111090909090911E-2</v>
      </c>
      <c r="I9" s="53">
        <v>237111</v>
      </c>
      <c r="J9" s="53">
        <v>3270245</v>
      </c>
      <c r="K9" s="37" t="s">
        <v>60</v>
      </c>
      <c r="L9" s="53">
        <v>1000000</v>
      </c>
      <c r="M9" s="26" t="s">
        <v>99</v>
      </c>
      <c r="N9" s="53">
        <v>1618250</v>
      </c>
      <c r="O9" s="26" t="s">
        <v>48</v>
      </c>
      <c r="P9" s="53">
        <v>545455</v>
      </c>
      <c r="Q9" s="26"/>
      <c r="S9" s="26"/>
      <c r="T9" s="29"/>
      <c r="U9" s="26"/>
      <c r="V9" s="29"/>
    </row>
    <row r="10" spans="1:22" ht="27.75" customHeight="1" x14ac:dyDescent="0.4">
      <c r="A10" s="12" t="s">
        <v>48</v>
      </c>
      <c r="B10" s="12" t="s">
        <v>209</v>
      </c>
      <c r="C10" s="28">
        <v>46046</v>
      </c>
      <c r="D10" s="12" t="s">
        <v>84</v>
      </c>
      <c r="E10" s="28">
        <v>45712</v>
      </c>
      <c r="G10" s="53">
        <v>5470000</v>
      </c>
      <c r="H10" s="51">
        <f t="shared" si="0"/>
        <v>0.16071425959780622</v>
      </c>
      <c r="I10" s="53">
        <f>G10-J10-L10-N10-P10-R10-T10-V10</f>
        <v>879107</v>
      </c>
      <c r="J10" s="53">
        <v>2620893</v>
      </c>
      <c r="K10" s="26" t="s">
        <v>60</v>
      </c>
      <c r="L10" s="53">
        <v>1970000</v>
      </c>
      <c r="O10" s="26"/>
      <c r="Q10" s="26"/>
      <c r="S10" s="26"/>
      <c r="T10" s="29"/>
      <c r="U10" s="26"/>
      <c r="V10" s="29"/>
    </row>
    <row r="11" spans="1:22" ht="27.75" customHeight="1" x14ac:dyDescent="0.4">
      <c r="A11" s="12" t="s">
        <v>76</v>
      </c>
      <c r="B11" s="4" t="s">
        <v>210</v>
      </c>
      <c r="C11" s="11">
        <v>46048</v>
      </c>
      <c r="D11" s="5" t="s">
        <v>211</v>
      </c>
      <c r="E11" s="10">
        <v>45702</v>
      </c>
      <c r="G11" s="53">
        <v>1480000</v>
      </c>
      <c r="H11" s="51">
        <f t="shared" si="0"/>
        <v>0.14662162162162162</v>
      </c>
      <c r="I11" s="53">
        <v>217000</v>
      </c>
      <c r="J11" s="53">
        <v>262900</v>
      </c>
      <c r="K11" s="26" t="s">
        <v>139</v>
      </c>
      <c r="L11" s="53">
        <v>270000</v>
      </c>
      <c r="M11" s="26" t="s">
        <v>99</v>
      </c>
      <c r="N11" s="53">
        <v>550000</v>
      </c>
      <c r="O11" s="26"/>
      <c r="Q11" s="26"/>
      <c r="S11" s="26"/>
      <c r="T11" s="29"/>
      <c r="U11" s="26"/>
      <c r="V11" s="29"/>
    </row>
    <row r="12" spans="1:22" ht="27.75" customHeight="1" x14ac:dyDescent="0.4">
      <c r="A12" s="12" t="s">
        <v>48</v>
      </c>
      <c r="B12" s="4" t="s">
        <v>220</v>
      </c>
      <c r="C12" s="11">
        <v>46049</v>
      </c>
      <c r="D12" s="5" t="s">
        <v>149</v>
      </c>
      <c r="E12" s="10">
        <v>46051</v>
      </c>
      <c r="G12" s="53">
        <v>40000</v>
      </c>
      <c r="H12" s="56">
        <f t="shared" si="0"/>
        <v>1</v>
      </c>
      <c r="I12" s="53">
        <f>G12-J12-L12-N12-P12-R12-T12-V12</f>
        <v>40000</v>
      </c>
      <c r="K12" s="40" t="s">
        <v>57</v>
      </c>
      <c r="L12" s="53">
        <v>0</v>
      </c>
      <c r="O12" s="26"/>
      <c r="Q12" s="26"/>
      <c r="S12" s="26"/>
      <c r="T12" s="29"/>
      <c r="U12" s="26"/>
      <c r="V12" s="29"/>
    </row>
    <row r="13" spans="1:22" ht="27.75" customHeight="1" x14ac:dyDescent="0.4">
      <c r="A13" s="12" t="s">
        <v>119</v>
      </c>
      <c r="B13" s="4" t="s">
        <v>199</v>
      </c>
      <c r="C13" s="11">
        <v>46052</v>
      </c>
      <c r="D13" s="5" t="s">
        <v>20</v>
      </c>
      <c r="E13" s="10">
        <v>45708</v>
      </c>
      <c r="G13" s="53">
        <v>3210000</v>
      </c>
      <c r="H13" s="51">
        <f t="shared" si="0"/>
        <v>0.44219750778816197</v>
      </c>
      <c r="I13" s="53">
        <f>G13-J13-L13-N13-P13-R13-T13-V13</f>
        <v>1419454</v>
      </c>
      <c r="J13" s="53">
        <v>1290546</v>
      </c>
      <c r="K13" s="40" t="s">
        <v>57</v>
      </c>
      <c r="L13" s="74">
        <v>500000</v>
      </c>
      <c r="O13" s="26"/>
      <c r="Q13" s="26"/>
      <c r="S13" s="26"/>
      <c r="T13" s="29"/>
      <c r="U13" s="26"/>
      <c r="V13" s="29"/>
    </row>
    <row r="14" spans="1:22" ht="27.75" customHeight="1" x14ac:dyDescent="0.4">
      <c r="A14" s="12"/>
      <c r="B14" s="4"/>
      <c r="C14" s="11"/>
      <c r="D14" s="5"/>
      <c r="E14" s="10"/>
      <c r="H14" s="56"/>
      <c r="K14" s="40"/>
      <c r="O14" s="26"/>
      <c r="Q14" s="26"/>
      <c r="S14" s="26"/>
      <c r="T14" s="29"/>
      <c r="U14" s="26"/>
      <c r="V14" s="29"/>
    </row>
    <row r="15" spans="1:22" ht="27.75" customHeight="1" x14ac:dyDescent="0.4">
      <c r="A15" s="12" t="s">
        <v>42</v>
      </c>
      <c r="B15" s="31" t="s">
        <v>215</v>
      </c>
      <c r="C15" s="32">
        <v>46054</v>
      </c>
      <c r="D15" s="33" t="s">
        <v>216</v>
      </c>
      <c r="E15" s="34">
        <v>46081</v>
      </c>
      <c r="F15" s="35"/>
      <c r="G15" s="71">
        <v>4750000</v>
      </c>
      <c r="H15" s="50"/>
      <c r="I15" s="71"/>
      <c r="J15" s="71"/>
      <c r="K15" s="36"/>
      <c r="O15" s="26"/>
      <c r="Q15" s="26"/>
      <c r="S15" s="26"/>
      <c r="T15" s="29"/>
      <c r="U15" s="26"/>
      <c r="V15" s="29"/>
    </row>
    <row r="16" spans="1:22" ht="27.75" customHeight="1" x14ac:dyDescent="0.4">
      <c r="A16" s="12" t="s">
        <v>227</v>
      </c>
      <c r="B16" s="4" t="s">
        <v>228</v>
      </c>
      <c r="C16" s="11">
        <v>46055</v>
      </c>
      <c r="D16" s="5"/>
      <c r="E16" s="10">
        <v>46058</v>
      </c>
      <c r="G16" s="53">
        <v>264000</v>
      </c>
      <c r="H16" s="49">
        <f>I16/G16</f>
        <v>0.50378787878787878</v>
      </c>
      <c r="I16" s="53">
        <f>G16-J16-L16-N16-P16-R16-T16-V16</f>
        <v>133000</v>
      </c>
      <c r="J16" s="73">
        <v>11000</v>
      </c>
      <c r="K16" s="26" t="s">
        <v>109</v>
      </c>
      <c r="L16" s="53">
        <v>120000</v>
      </c>
      <c r="O16" s="26"/>
      <c r="Q16" s="26"/>
      <c r="S16" s="26"/>
      <c r="T16" s="29"/>
      <c r="U16" s="26"/>
      <c r="V16" s="29"/>
    </row>
    <row r="17" spans="1:22" ht="27.75" customHeight="1" x14ac:dyDescent="0.4">
      <c r="A17" s="12" t="s">
        <v>222</v>
      </c>
      <c r="B17" s="4" t="s">
        <v>223</v>
      </c>
      <c r="C17" s="11">
        <v>46057</v>
      </c>
      <c r="D17" s="5" t="s">
        <v>82</v>
      </c>
      <c r="E17" s="10">
        <v>46067</v>
      </c>
      <c r="G17" s="53">
        <v>926000</v>
      </c>
      <c r="H17" s="68">
        <f>I17/G17</f>
        <v>0.24710583153347732</v>
      </c>
      <c r="I17" s="53">
        <f>G17-J17-L17-N17-P17-R17-T17-V17</f>
        <v>228820</v>
      </c>
      <c r="J17" s="53">
        <v>497180</v>
      </c>
      <c r="K17" s="40" t="s">
        <v>57</v>
      </c>
      <c r="L17" s="75">
        <v>200000</v>
      </c>
      <c r="O17" s="26"/>
      <c r="Q17" s="26"/>
      <c r="S17" s="26"/>
      <c r="T17" s="29"/>
      <c r="U17" s="26"/>
      <c r="V17" s="29"/>
    </row>
    <row r="18" spans="1:22" ht="27.75" customHeight="1" x14ac:dyDescent="0.4">
      <c r="A18" s="12" t="s">
        <v>251</v>
      </c>
      <c r="B18" s="4" t="s">
        <v>252</v>
      </c>
      <c r="C18" s="11">
        <v>46058</v>
      </c>
      <c r="D18" s="5"/>
      <c r="E18" s="10">
        <v>46059</v>
      </c>
      <c r="G18" s="53">
        <v>126900</v>
      </c>
      <c r="H18" s="68">
        <f>I18/G18</f>
        <v>-1.0874704491725768E-3</v>
      </c>
      <c r="I18" s="53">
        <f>G18-J18-L18-N18-P18-R18-T18-V18</f>
        <v>-138</v>
      </c>
      <c r="J18" s="53">
        <v>67038</v>
      </c>
      <c r="K18" s="40" t="s">
        <v>253</v>
      </c>
      <c r="L18" s="75">
        <v>60000</v>
      </c>
      <c r="O18" s="26"/>
      <c r="Q18" s="26"/>
      <c r="S18" s="26"/>
      <c r="T18" s="29"/>
      <c r="U18" s="26"/>
      <c r="V18" s="29"/>
    </row>
    <row r="19" spans="1:22" ht="27.75" customHeight="1" x14ac:dyDescent="0.4">
      <c r="A19" s="12" t="s">
        <v>229</v>
      </c>
      <c r="B19" s="4" t="s">
        <v>231</v>
      </c>
      <c r="C19" s="11">
        <v>46063</v>
      </c>
      <c r="D19" s="5" t="s">
        <v>20</v>
      </c>
      <c r="E19" s="38" t="s">
        <v>230</v>
      </c>
      <c r="G19" s="53">
        <v>730000</v>
      </c>
      <c r="H19" s="49">
        <f t="shared" ref="H19:H22" si="1">I19/G19</f>
        <v>1</v>
      </c>
      <c r="I19" s="53">
        <f t="shared" ref="I19:I24" si="2">G19-J19-L19-N19-P19-R19-T19-V19</f>
        <v>730000</v>
      </c>
      <c r="K19" s="41" t="s">
        <v>57</v>
      </c>
      <c r="M19" s="26" t="s">
        <v>270</v>
      </c>
      <c r="O19" t="s">
        <v>275</v>
      </c>
      <c r="T19" s="29"/>
      <c r="V19" s="29"/>
    </row>
    <row r="20" spans="1:22" ht="27.75" customHeight="1" x14ac:dyDescent="0.4">
      <c r="A20" s="12" t="s">
        <v>78</v>
      </c>
      <c r="B20" s="4" t="s">
        <v>232</v>
      </c>
      <c r="C20" s="11">
        <v>46069</v>
      </c>
      <c r="D20" s="5" t="s">
        <v>97</v>
      </c>
      <c r="E20" s="10">
        <v>46072</v>
      </c>
      <c r="G20" s="53">
        <v>140000</v>
      </c>
      <c r="H20" s="68">
        <f t="shared" si="1"/>
        <v>0.40714285714285714</v>
      </c>
      <c r="I20" s="53">
        <f t="shared" si="2"/>
        <v>57000</v>
      </c>
      <c r="J20" s="53">
        <v>3000</v>
      </c>
      <c r="K20" s="40" t="s">
        <v>57</v>
      </c>
      <c r="L20" s="53">
        <v>80000</v>
      </c>
      <c r="T20" s="29"/>
      <c r="V20" s="29"/>
    </row>
    <row r="21" spans="1:22" s="64" customFormat="1" ht="27.75" customHeight="1" x14ac:dyDescent="0.4">
      <c r="A21" s="59" t="s">
        <v>45</v>
      </c>
      <c r="B21" s="60" t="s">
        <v>85</v>
      </c>
      <c r="C21" s="61">
        <v>46071</v>
      </c>
      <c r="D21" s="62" t="s">
        <v>239</v>
      </c>
      <c r="E21" s="63">
        <v>46081</v>
      </c>
      <c r="G21" s="67">
        <v>1760000</v>
      </c>
      <c r="H21" s="65">
        <f t="shared" si="1"/>
        <v>1</v>
      </c>
      <c r="I21" s="67">
        <f t="shared" si="2"/>
        <v>1760000</v>
      </c>
      <c r="J21" s="67"/>
      <c r="K21" s="78" t="s">
        <v>57</v>
      </c>
      <c r="L21" s="67"/>
      <c r="M21" s="66" t="s">
        <v>88</v>
      </c>
      <c r="N21" s="67"/>
      <c r="P21" s="67"/>
      <c r="R21" s="67"/>
    </row>
    <row r="22" spans="1:22" ht="27.75" customHeight="1" x14ac:dyDescent="0.4">
      <c r="A22" s="12" t="s">
        <v>237</v>
      </c>
      <c r="B22" s="4" t="s">
        <v>238</v>
      </c>
      <c r="C22" s="11">
        <v>46078</v>
      </c>
      <c r="D22" s="5" t="s">
        <v>137</v>
      </c>
      <c r="E22" s="10">
        <v>46080</v>
      </c>
      <c r="G22" s="53">
        <v>110000</v>
      </c>
      <c r="H22" s="68">
        <f t="shared" si="1"/>
        <v>0.45454545454545453</v>
      </c>
      <c r="I22" s="53">
        <f t="shared" si="2"/>
        <v>50000</v>
      </c>
      <c r="J22" s="53">
        <v>40000</v>
      </c>
      <c r="K22" s="41" t="s">
        <v>57</v>
      </c>
      <c r="L22" s="53">
        <v>20000</v>
      </c>
    </row>
    <row r="23" spans="1:22" ht="27.75" customHeight="1" x14ac:dyDescent="0.4">
      <c r="A23" s="12" t="s">
        <v>227</v>
      </c>
      <c r="B23" s="4" t="s">
        <v>240</v>
      </c>
      <c r="C23" s="11">
        <v>46078</v>
      </c>
      <c r="D23" s="5"/>
      <c r="E23" s="6"/>
      <c r="G23" s="53">
        <v>1000000</v>
      </c>
      <c r="H23" s="68">
        <v>0.4</v>
      </c>
      <c r="I23" s="53">
        <f t="shared" si="2"/>
        <v>396786</v>
      </c>
      <c r="J23" s="53">
        <v>223214</v>
      </c>
      <c r="K23" s="54" t="s">
        <v>57</v>
      </c>
      <c r="L23" s="53">
        <v>380000</v>
      </c>
    </row>
    <row r="24" spans="1:22" ht="27.75" customHeight="1" x14ac:dyDescent="0.4">
      <c r="A24" s="12" t="s">
        <v>49</v>
      </c>
      <c r="B24" s="4" t="s">
        <v>233</v>
      </c>
      <c r="C24" s="11">
        <v>46080</v>
      </c>
      <c r="D24" s="5" t="s">
        <v>5</v>
      </c>
      <c r="E24" s="10">
        <v>46088</v>
      </c>
      <c r="G24" s="53">
        <v>710000</v>
      </c>
      <c r="H24" s="68">
        <v>0.15</v>
      </c>
      <c r="I24" s="53">
        <f t="shared" si="2"/>
        <v>550000</v>
      </c>
      <c r="K24" s="54" t="s">
        <v>57</v>
      </c>
      <c r="L24" s="53">
        <v>160000</v>
      </c>
    </row>
    <row r="25" spans="1:22" ht="27.75" customHeight="1" x14ac:dyDescent="0.4">
      <c r="A25" s="12"/>
      <c r="B25" s="4"/>
      <c r="C25" s="11"/>
      <c r="D25" s="5"/>
      <c r="E25" s="10"/>
    </row>
    <row r="26" spans="1:22" ht="27.75" customHeight="1" x14ac:dyDescent="0.4">
      <c r="A26" s="12" t="s">
        <v>222</v>
      </c>
      <c r="B26" s="4" t="s">
        <v>263</v>
      </c>
      <c r="C26" s="11">
        <v>46086</v>
      </c>
      <c r="D26" s="5" t="s">
        <v>20</v>
      </c>
      <c r="E26" s="10">
        <v>46106</v>
      </c>
      <c r="F26" s="57" t="s">
        <v>244</v>
      </c>
      <c r="G26" s="53">
        <v>1081080</v>
      </c>
      <c r="H26" s="49">
        <f t="shared" ref="H26:H32" si="3">I26/G26</f>
        <v>1</v>
      </c>
      <c r="I26" s="53">
        <f t="shared" ref="I26:I33" si="4">G26-J26-L26-N26-P26-R26-T26-V26</f>
        <v>1081080</v>
      </c>
      <c r="J26" s="71"/>
      <c r="K26" s="37" t="s">
        <v>214</v>
      </c>
      <c r="T26" s="29"/>
      <c r="V26" s="29"/>
    </row>
    <row r="27" spans="1:22" ht="27.75" customHeight="1" x14ac:dyDescent="0.4">
      <c r="A27" s="12" t="s">
        <v>141</v>
      </c>
      <c r="B27" s="4" t="s">
        <v>235</v>
      </c>
      <c r="C27" s="11">
        <v>46086</v>
      </c>
      <c r="D27" s="5" t="s">
        <v>82</v>
      </c>
      <c r="E27" s="10">
        <v>46096</v>
      </c>
      <c r="G27" s="53">
        <v>800000</v>
      </c>
      <c r="H27" s="68">
        <f t="shared" si="3"/>
        <v>0.125245</v>
      </c>
      <c r="I27" s="53">
        <f t="shared" si="4"/>
        <v>100196</v>
      </c>
      <c r="J27" s="71"/>
      <c r="K27" s="26" t="s">
        <v>99</v>
      </c>
      <c r="L27" s="53">
        <v>699804</v>
      </c>
    </row>
    <row r="28" spans="1:22" ht="27.75" customHeight="1" x14ac:dyDescent="0.4">
      <c r="A28" s="12" t="s">
        <v>229</v>
      </c>
      <c r="B28" s="4" t="s">
        <v>234</v>
      </c>
      <c r="C28" s="11">
        <v>46087</v>
      </c>
      <c r="D28" s="5" t="s">
        <v>66</v>
      </c>
      <c r="E28" s="10">
        <v>46118</v>
      </c>
      <c r="G28" s="53">
        <v>4550000</v>
      </c>
      <c r="H28" s="68">
        <f t="shared" si="3"/>
        <v>0.30220659340659339</v>
      </c>
      <c r="I28" s="53">
        <f t="shared" si="4"/>
        <v>1375040</v>
      </c>
      <c r="J28" s="53">
        <v>2124960</v>
      </c>
      <c r="K28" s="52" t="s">
        <v>248</v>
      </c>
      <c r="L28" s="53">
        <v>1050000</v>
      </c>
    </row>
    <row r="29" spans="1:22" ht="27.75" customHeight="1" x14ac:dyDescent="0.4">
      <c r="A29" s="39" t="s">
        <v>99</v>
      </c>
      <c r="B29" s="4" t="s">
        <v>281</v>
      </c>
      <c r="C29" s="11">
        <v>46091</v>
      </c>
      <c r="D29" s="5" t="s">
        <v>20</v>
      </c>
      <c r="E29" s="10">
        <v>46111</v>
      </c>
      <c r="G29" s="53">
        <v>960000</v>
      </c>
      <c r="H29" s="68">
        <f t="shared" si="3"/>
        <v>0.37531249999999999</v>
      </c>
      <c r="I29" s="53">
        <f t="shared" si="4"/>
        <v>360300</v>
      </c>
      <c r="J29" s="53">
        <v>219700</v>
      </c>
      <c r="K29" s="26" t="s">
        <v>57</v>
      </c>
      <c r="L29" s="53">
        <v>380000</v>
      </c>
    </row>
    <row r="30" spans="1:22" ht="27.75" customHeight="1" x14ac:dyDescent="0.4">
      <c r="A30" s="12" t="s">
        <v>45</v>
      </c>
      <c r="B30" s="4" t="s">
        <v>225</v>
      </c>
      <c r="C30" s="11">
        <v>46097</v>
      </c>
      <c r="D30" s="5"/>
      <c r="E30" s="6"/>
      <c r="F30" s="57" t="s">
        <v>244</v>
      </c>
      <c r="G30" s="53">
        <v>8609643</v>
      </c>
      <c r="H30" s="49">
        <f t="shared" si="3"/>
        <v>2.387137306390056E-2</v>
      </c>
      <c r="I30" s="53">
        <f t="shared" si="4"/>
        <v>205524</v>
      </c>
      <c r="J30" s="53">
        <v>971660</v>
      </c>
      <c r="K30" s="79" t="s">
        <v>57</v>
      </c>
      <c r="L30" s="53">
        <v>2240000</v>
      </c>
      <c r="M30" s="26" t="s">
        <v>214</v>
      </c>
      <c r="N30" s="53">
        <v>1287404</v>
      </c>
      <c r="O30" s="26" t="s">
        <v>99</v>
      </c>
      <c r="P30" s="53">
        <v>2834937</v>
      </c>
      <c r="Q30" s="26" t="s">
        <v>145</v>
      </c>
      <c r="R30" s="53">
        <v>1070118</v>
      </c>
      <c r="S30" s="26"/>
      <c r="T30" s="29"/>
      <c r="U30" s="26"/>
      <c r="V30" s="29"/>
    </row>
    <row r="31" spans="1:22" ht="27.75" customHeight="1" x14ac:dyDescent="0.4">
      <c r="A31" s="12" t="s">
        <v>47</v>
      </c>
      <c r="B31" s="4" t="s">
        <v>236</v>
      </c>
      <c r="C31" s="11">
        <v>46097</v>
      </c>
      <c r="D31" s="5" t="s">
        <v>20</v>
      </c>
      <c r="E31" s="10">
        <v>46118</v>
      </c>
      <c r="G31" s="53">
        <v>1250000</v>
      </c>
      <c r="H31" s="68">
        <f t="shared" si="3"/>
        <v>0.16456399999999999</v>
      </c>
      <c r="I31" s="53">
        <f t="shared" si="4"/>
        <v>205705</v>
      </c>
      <c r="J31" s="53">
        <v>504295</v>
      </c>
      <c r="K31" s="54" t="s">
        <v>57</v>
      </c>
      <c r="L31" s="53">
        <v>540000</v>
      </c>
    </row>
    <row r="32" spans="1:22" ht="27.75" customHeight="1" x14ac:dyDescent="0.4">
      <c r="A32" s="12" t="s">
        <v>245</v>
      </c>
      <c r="B32" s="4" t="s">
        <v>246</v>
      </c>
      <c r="C32" s="11">
        <v>46099</v>
      </c>
      <c r="D32" s="5" t="s">
        <v>247</v>
      </c>
      <c r="E32" s="10">
        <v>46109</v>
      </c>
      <c r="G32" s="53">
        <v>1260000</v>
      </c>
      <c r="H32" s="68">
        <f t="shared" si="3"/>
        <v>0.29063968253968253</v>
      </c>
      <c r="I32" s="53">
        <f t="shared" si="4"/>
        <v>366206</v>
      </c>
      <c r="J32" s="53">
        <v>423794</v>
      </c>
      <c r="K32" s="26" t="s">
        <v>60</v>
      </c>
      <c r="L32" s="53">
        <v>470000</v>
      </c>
    </row>
    <row r="33" spans="1:22" ht="27.75" customHeight="1" x14ac:dyDescent="0.4">
      <c r="A33" s="12" t="s">
        <v>256</v>
      </c>
      <c r="B33" s="4" t="s">
        <v>257</v>
      </c>
      <c r="C33" s="11">
        <v>46112</v>
      </c>
      <c r="D33" s="5" t="s">
        <v>258</v>
      </c>
      <c r="E33" s="10">
        <v>46119</v>
      </c>
      <c r="G33" s="53">
        <v>910000</v>
      </c>
      <c r="H33" s="68">
        <v>0.27</v>
      </c>
      <c r="I33" s="53">
        <f t="shared" si="4"/>
        <v>440420</v>
      </c>
      <c r="J33" s="53">
        <v>289580</v>
      </c>
      <c r="K33" s="40" t="s">
        <v>274</v>
      </c>
      <c r="L33" s="53">
        <v>180000</v>
      </c>
    </row>
    <row r="34" spans="1:22" ht="27.75" customHeight="1" x14ac:dyDescent="0.4">
      <c r="A34" s="12"/>
      <c r="B34" s="4"/>
      <c r="C34" s="11"/>
      <c r="D34" s="5"/>
      <c r="E34" s="10"/>
    </row>
    <row r="35" spans="1:22" ht="27.75" customHeight="1" x14ac:dyDescent="0.4">
      <c r="A35" s="12" t="s">
        <v>271</v>
      </c>
      <c r="B35" s="4" t="s">
        <v>272</v>
      </c>
      <c r="C35" s="11">
        <v>46118</v>
      </c>
      <c r="D35" s="5" t="s">
        <v>273</v>
      </c>
      <c r="E35" s="10">
        <v>46125</v>
      </c>
      <c r="G35" s="53">
        <v>430000</v>
      </c>
      <c r="H35" s="68">
        <f t="shared" ref="H35:H44" si="5">I35/G35</f>
        <v>0.2323953488372093</v>
      </c>
      <c r="I35" s="53">
        <f t="shared" ref="I35:I44" si="6">G35-J35-L35-N35-P35-R35-T35-V35</f>
        <v>99930</v>
      </c>
      <c r="J35" s="53">
        <v>160070</v>
      </c>
      <c r="K35" s="26" t="s">
        <v>60</v>
      </c>
      <c r="L35" s="53">
        <v>170000</v>
      </c>
    </row>
    <row r="36" spans="1:22" ht="27.75" customHeight="1" x14ac:dyDescent="0.4">
      <c r="A36" s="12" t="s">
        <v>256</v>
      </c>
      <c r="B36" s="4" t="s">
        <v>259</v>
      </c>
      <c r="C36" s="11">
        <v>46125</v>
      </c>
      <c r="D36" s="5" t="s">
        <v>260</v>
      </c>
      <c r="E36" s="10">
        <v>46140</v>
      </c>
      <c r="G36" s="53">
        <v>1680000</v>
      </c>
      <c r="H36" s="49">
        <f t="shared" si="5"/>
        <v>0.70238095238095233</v>
      </c>
      <c r="I36" s="53">
        <f t="shared" si="6"/>
        <v>1180000</v>
      </c>
      <c r="K36" s="26" t="s">
        <v>270</v>
      </c>
      <c r="L36" s="53">
        <v>500000</v>
      </c>
    </row>
    <row r="37" spans="1:22" ht="27.75" customHeight="1" x14ac:dyDescent="0.4">
      <c r="A37" s="12" t="s">
        <v>76</v>
      </c>
      <c r="B37" s="4" t="s">
        <v>278</v>
      </c>
      <c r="C37" s="11">
        <v>46129</v>
      </c>
      <c r="D37" s="5" t="s">
        <v>279</v>
      </c>
      <c r="E37" s="10">
        <v>46159</v>
      </c>
      <c r="F37" s="58" t="s">
        <v>280</v>
      </c>
      <c r="G37" s="53">
        <v>810000</v>
      </c>
      <c r="H37" s="49">
        <f t="shared" si="5"/>
        <v>4.683950617283951E-2</v>
      </c>
      <c r="I37" s="53">
        <f t="shared" si="6"/>
        <v>37940</v>
      </c>
      <c r="J37" s="71"/>
      <c r="K37" s="54" t="s">
        <v>57</v>
      </c>
      <c r="L37" s="53">
        <v>340000</v>
      </c>
      <c r="M37" s="26" t="s">
        <v>60</v>
      </c>
      <c r="N37" s="53">
        <v>432060</v>
      </c>
    </row>
    <row r="38" spans="1:22" ht="27.75" customHeight="1" x14ac:dyDescent="0.4">
      <c r="A38" s="12" t="s">
        <v>114</v>
      </c>
      <c r="B38" s="4" t="s">
        <v>226</v>
      </c>
      <c r="C38" s="11">
        <v>46132</v>
      </c>
      <c r="D38" s="55" t="s">
        <v>269</v>
      </c>
      <c r="E38" s="10">
        <v>46213</v>
      </c>
      <c r="G38" s="53">
        <v>2450000</v>
      </c>
      <c r="H38" s="49">
        <f t="shared" si="5"/>
        <v>1</v>
      </c>
      <c r="I38" s="53">
        <f t="shared" si="6"/>
        <v>2450000</v>
      </c>
      <c r="J38" s="71"/>
      <c r="K38" s="54" t="s">
        <v>57</v>
      </c>
      <c r="O38" s="26"/>
      <c r="Q38" s="26"/>
      <c r="S38" s="26"/>
      <c r="T38" s="29"/>
      <c r="U38" s="26"/>
      <c r="V38" s="29"/>
    </row>
    <row r="39" spans="1:22" ht="27.75" customHeight="1" x14ac:dyDescent="0.4">
      <c r="A39" s="12" t="s">
        <v>261</v>
      </c>
      <c r="B39" s="4" t="s">
        <v>262</v>
      </c>
      <c r="C39" s="11">
        <v>46133</v>
      </c>
      <c r="D39" s="5" t="s">
        <v>155</v>
      </c>
      <c r="E39" s="10">
        <v>46172</v>
      </c>
      <c r="G39" s="53">
        <v>6900000</v>
      </c>
      <c r="H39" s="49">
        <f t="shared" si="5"/>
        <v>0.69565217391304346</v>
      </c>
      <c r="I39" s="53">
        <f t="shared" si="6"/>
        <v>4800000</v>
      </c>
      <c r="K39" s="54" t="s">
        <v>274</v>
      </c>
      <c r="L39" s="53">
        <v>640000</v>
      </c>
      <c r="M39" s="26" t="s">
        <v>60</v>
      </c>
      <c r="N39" s="53">
        <v>1460000</v>
      </c>
    </row>
    <row r="40" spans="1:22" ht="27.75" customHeight="1" x14ac:dyDescent="0.4">
      <c r="A40" s="12" t="s">
        <v>251</v>
      </c>
      <c r="B40" s="4" t="s">
        <v>293</v>
      </c>
      <c r="C40" s="11">
        <v>46134</v>
      </c>
      <c r="D40" s="5" t="s">
        <v>285</v>
      </c>
      <c r="E40" s="10">
        <v>46154</v>
      </c>
      <c r="G40" s="53">
        <v>1550000</v>
      </c>
      <c r="H40" s="49">
        <f t="shared" si="5"/>
        <v>0.64516129032258063</v>
      </c>
      <c r="I40" s="53">
        <f t="shared" si="6"/>
        <v>1000000</v>
      </c>
      <c r="K40" s="26" t="s">
        <v>60</v>
      </c>
      <c r="L40" s="53">
        <v>550000</v>
      </c>
    </row>
    <row r="41" spans="1:22" ht="27.75" customHeight="1" x14ac:dyDescent="0.4">
      <c r="A41" s="12" t="s">
        <v>45</v>
      </c>
      <c r="B41" s="4" t="s">
        <v>224</v>
      </c>
      <c r="C41" s="11">
        <v>46135</v>
      </c>
      <c r="D41" s="55"/>
      <c r="E41" s="6"/>
      <c r="F41" s="57" t="s">
        <v>244</v>
      </c>
      <c r="G41" s="53">
        <v>8600000</v>
      </c>
      <c r="H41" s="49">
        <f t="shared" si="5"/>
        <v>0.33480279069767444</v>
      </c>
      <c r="I41" s="53">
        <f t="shared" si="6"/>
        <v>2879304</v>
      </c>
      <c r="K41" s="71"/>
      <c r="L41" s="71"/>
      <c r="M41" s="26" t="s">
        <v>214</v>
      </c>
      <c r="N41" s="53">
        <v>2538388</v>
      </c>
      <c r="O41" s="26" t="s">
        <v>99</v>
      </c>
      <c r="P41" s="53">
        <v>1223495</v>
      </c>
      <c r="Q41" s="26" t="s">
        <v>139</v>
      </c>
      <c r="R41" s="53">
        <v>580660</v>
      </c>
      <c r="S41" s="26" t="s">
        <v>250</v>
      </c>
      <c r="T41" s="29">
        <v>1378153</v>
      </c>
      <c r="U41" s="26"/>
      <c r="V41" s="29"/>
    </row>
    <row r="42" spans="1:22" ht="27.75" customHeight="1" x14ac:dyDescent="0.4">
      <c r="A42" s="12" t="s">
        <v>227</v>
      </c>
      <c r="B42" s="4" t="s">
        <v>291</v>
      </c>
      <c r="C42" s="11">
        <v>46136</v>
      </c>
      <c r="D42" s="5" t="s">
        <v>137</v>
      </c>
      <c r="E42" s="10">
        <v>46137</v>
      </c>
      <c r="G42" s="53">
        <v>140000</v>
      </c>
      <c r="H42" s="49">
        <f t="shared" si="5"/>
        <v>0.7142857142857143</v>
      </c>
      <c r="I42" s="53">
        <f t="shared" si="6"/>
        <v>100000</v>
      </c>
      <c r="K42" s="80" t="s">
        <v>292</v>
      </c>
      <c r="L42" s="53">
        <v>40000</v>
      </c>
    </row>
    <row r="43" spans="1:22" ht="27.75" customHeight="1" x14ac:dyDescent="0.4">
      <c r="A43" s="12" t="s">
        <v>254</v>
      </c>
      <c r="B43" s="4" t="s">
        <v>255</v>
      </c>
      <c r="C43" s="11">
        <v>46139</v>
      </c>
      <c r="D43" s="5"/>
      <c r="E43" s="6"/>
      <c r="G43" s="53">
        <v>5400000</v>
      </c>
      <c r="H43" s="86">
        <f t="shared" si="5"/>
        <v>0.18764629629629628</v>
      </c>
      <c r="I43" s="53">
        <f t="shared" si="6"/>
        <v>1013290</v>
      </c>
      <c r="J43" s="53">
        <v>2623710</v>
      </c>
      <c r="K43" s="26" t="s">
        <v>59</v>
      </c>
      <c r="L43" s="76">
        <v>790000</v>
      </c>
      <c r="M43" s="26" t="s">
        <v>284</v>
      </c>
      <c r="N43" s="76">
        <v>823000</v>
      </c>
      <c r="O43" t="s">
        <v>141</v>
      </c>
      <c r="P43" s="53">
        <v>150000</v>
      </c>
    </row>
    <row r="44" spans="1:22" ht="27.75" customHeight="1" x14ac:dyDescent="0.4">
      <c r="A44" s="12" t="s">
        <v>286</v>
      </c>
      <c r="B44" s="4" t="s">
        <v>287</v>
      </c>
      <c r="C44" s="11">
        <v>46139</v>
      </c>
      <c r="D44" s="5" t="s">
        <v>288</v>
      </c>
      <c r="E44" s="10">
        <v>46159</v>
      </c>
      <c r="G44" s="53">
        <v>4080000</v>
      </c>
      <c r="H44" s="49">
        <f t="shared" si="5"/>
        <v>0.12990196078431374</v>
      </c>
      <c r="I44" s="53">
        <f t="shared" si="6"/>
        <v>530000</v>
      </c>
      <c r="J44" s="71"/>
      <c r="K44" s="81" t="s">
        <v>289</v>
      </c>
      <c r="L44" s="53">
        <v>160000</v>
      </c>
      <c r="M44" s="26" t="s">
        <v>290</v>
      </c>
      <c r="N44" s="53">
        <v>660000</v>
      </c>
      <c r="O44" s="26" t="s">
        <v>99</v>
      </c>
      <c r="P44" s="53">
        <v>2730000</v>
      </c>
    </row>
    <row r="45" spans="1:22" ht="27.75" customHeight="1" x14ac:dyDescent="0.4">
      <c r="A45" s="12"/>
      <c r="B45" s="4"/>
      <c r="C45" s="11"/>
      <c r="D45" s="5"/>
      <c r="E45" s="10"/>
      <c r="K45" s="69"/>
      <c r="O45" s="26"/>
    </row>
    <row r="46" spans="1:22" ht="27.75" customHeight="1" x14ac:dyDescent="0.4">
      <c r="A46" s="12" t="s">
        <v>78</v>
      </c>
      <c r="B46" s="4" t="s">
        <v>276</v>
      </c>
      <c r="C46" s="11">
        <v>46143</v>
      </c>
      <c r="D46" s="5" t="s">
        <v>277</v>
      </c>
      <c r="E46" s="10">
        <v>46163</v>
      </c>
      <c r="G46" s="53">
        <v>1750000</v>
      </c>
      <c r="H46" s="49">
        <f>I46/G46</f>
        <v>0.63428571428571423</v>
      </c>
      <c r="I46" s="53">
        <f t="shared" ref="I46:I51" si="7">G46-J46-L46-N46-P46-R46-T46-V46</f>
        <v>1110000</v>
      </c>
      <c r="K46" s="26" t="s">
        <v>60</v>
      </c>
      <c r="L46" s="53">
        <v>640000</v>
      </c>
    </row>
    <row r="47" spans="1:22" ht="27.75" customHeight="1" x14ac:dyDescent="0.4">
      <c r="A47" s="12" t="s">
        <v>76</v>
      </c>
      <c r="B47" s="4" t="s">
        <v>300</v>
      </c>
      <c r="C47" s="11">
        <v>46153</v>
      </c>
      <c r="D47" s="5" t="s">
        <v>260</v>
      </c>
      <c r="E47" s="10">
        <v>46168</v>
      </c>
      <c r="G47" s="53">
        <v>920000</v>
      </c>
      <c r="H47" s="49">
        <f t="shared" ref="H47:H48" si="8">I47/G47</f>
        <v>0.56521739130434778</v>
      </c>
      <c r="I47" s="53">
        <f t="shared" si="7"/>
        <v>520000</v>
      </c>
      <c r="K47" s="26" t="s">
        <v>59</v>
      </c>
      <c r="L47" s="82">
        <v>400000</v>
      </c>
    </row>
    <row r="48" spans="1:22" ht="27.75" customHeight="1" x14ac:dyDescent="0.4">
      <c r="A48" s="12" t="s">
        <v>222</v>
      </c>
      <c r="B48" s="4" t="s">
        <v>301</v>
      </c>
      <c r="C48" s="11">
        <v>46160</v>
      </c>
      <c r="D48" s="5" t="s">
        <v>68</v>
      </c>
      <c r="E48" s="10">
        <v>46163</v>
      </c>
      <c r="G48" s="72">
        <v>130000</v>
      </c>
      <c r="H48" s="49">
        <f t="shared" si="8"/>
        <v>0.61538461538461542</v>
      </c>
      <c r="I48" s="53">
        <f t="shared" si="7"/>
        <v>80000</v>
      </c>
      <c r="J48" s="71"/>
      <c r="K48" s="26" t="s">
        <v>99</v>
      </c>
      <c r="L48" s="83">
        <v>50000</v>
      </c>
    </row>
    <row r="49" spans="1:22" ht="27.75" customHeight="1" x14ac:dyDescent="0.4">
      <c r="A49" s="12" t="s">
        <v>267</v>
      </c>
      <c r="B49" s="4" t="s">
        <v>294</v>
      </c>
      <c r="C49" s="11">
        <v>46167</v>
      </c>
      <c r="D49" s="5" t="s">
        <v>268</v>
      </c>
      <c r="E49" s="10">
        <v>46264</v>
      </c>
      <c r="G49" s="53">
        <v>7700000</v>
      </c>
      <c r="H49" s="49">
        <f t="shared" ref="H49:H51" si="9">I49/G49</f>
        <v>0.52207792207792203</v>
      </c>
      <c r="I49" s="53">
        <f t="shared" si="7"/>
        <v>4020000</v>
      </c>
      <c r="K49" s="40" t="s">
        <v>207</v>
      </c>
      <c r="L49" s="53">
        <v>1380000</v>
      </c>
      <c r="M49" s="26" t="s">
        <v>60</v>
      </c>
      <c r="N49" s="53">
        <v>2300000</v>
      </c>
    </row>
    <row r="50" spans="1:22" ht="27.75" customHeight="1" x14ac:dyDescent="0.4">
      <c r="A50" s="12" t="s">
        <v>267</v>
      </c>
      <c r="B50" s="4" t="s">
        <v>295</v>
      </c>
      <c r="C50" s="11">
        <v>46167</v>
      </c>
      <c r="D50" s="5" t="s">
        <v>31</v>
      </c>
      <c r="E50" s="10">
        <v>46264</v>
      </c>
      <c r="G50" s="53">
        <v>4700000</v>
      </c>
      <c r="H50" s="49">
        <f t="shared" si="9"/>
        <v>1</v>
      </c>
      <c r="I50" s="53">
        <f t="shared" si="7"/>
        <v>4700000</v>
      </c>
      <c r="J50" s="71"/>
      <c r="K50" s="26" t="s">
        <v>76</v>
      </c>
      <c r="O50" s="26"/>
      <c r="Q50" s="26"/>
      <c r="S50" s="26"/>
      <c r="T50" s="29"/>
      <c r="U50" s="26"/>
      <c r="V50" s="29"/>
    </row>
    <row r="51" spans="1:22" ht="27.75" customHeight="1" x14ac:dyDescent="0.4">
      <c r="A51" s="12" t="s">
        <v>267</v>
      </c>
      <c r="B51" s="4" t="s">
        <v>296</v>
      </c>
      <c r="C51" s="11">
        <v>46167</v>
      </c>
      <c r="D51" s="5" t="s">
        <v>5</v>
      </c>
      <c r="E51" s="10">
        <v>46178</v>
      </c>
      <c r="G51" s="53">
        <v>450000</v>
      </c>
      <c r="H51" s="49">
        <f t="shared" si="9"/>
        <v>1</v>
      </c>
      <c r="I51" s="53">
        <f t="shared" si="7"/>
        <v>450000</v>
      </c>
      <c r="K51" s="40" t="s">
        <v>57</v>
      </c>
      <c r="M51" s="26" t="s">
        <v>76</v>
      </c>
    </row>
    <row r="52" spans="1:22" ht="27.75" customHeight="1" x14ac:dyDescent="0.4">
      <c r="A52" s="12" t="s">
        <v>45</v>
      </c>
      <c r="B52" s="4" t="s">
        <v>282</v>
      </c>
      <c r="C52" s="77">
        <v>46160</v>
      </c>
      <c r="D52" s="5" t="s">
        <v>283</v>
      </c>
      <c r="E52" s="10">
        <v>46172</v>
      </c>
      <c r="G52" s="53">
        <v>1542330</v>
      </c>
      <c r="H52" s="49">
        <f>I52/G52</f>
        <v>0.71471734324042191</v>
      </c>
      <c r="I52" s="53">
        <f>G52-J52-L52-N52-P52-R52-T52-V52</f>
        <v>1102330</v>
      </c>
      <c r="K52" s="40" t="s">
        <v>57</v>
      </c>
      <c r="L52" s="53">
        <v>440000</v>
      </c>
    </row>
    <row r="53" spans="1:22" ht="27.75" customHeight="1" x14ac:dyDescent="0.4">
      <c r="A53" s="12" t="s">
        <v>251</v>
      </c>
      <c r="B53" s="4" t="s">
        <v>302</v>
      </c>
      <c r="C53" s="11">
        <v>46165</v>
      </c>
      <c r="D53" s="5" t="s">
        <v>20</v>
      </c>
      <c r="E53" s="10">
        <v>46186</v>
      </c>
      <c r="G53" s="53">
        <v>590000</v>
      </c>
      <c r="I53" s="53">
        <f>G53-J53-L53-N53-P53-R53-T53-V53</f>
        <v>112600</v>
      </c>
      <c r="K53" s="54" t="s">
        <v>57</v>
      </c>
      <c r="L53" s="53">
        <v>60000</v>
      </c>
      <c r="M53" s="26" t="s">
        <v>141</v>
      </c>
      <c r="N53" s="53">
        <v>417400</v>
      </c>
    </row>
    <row r="54" spans="1:22" ht="27.75" customHeight="1" x14ac:dyDescent="0.4">
      <c r="A54" s="12" t="s">
        <v>310</v>
      </c>
      <c r="B54" s="4" t="s">
        <v>311</v>
      </c>
      <c r="C54" s="11">
        <v>46165</v>
      </c>
      <c r="D54" s="5" t="s">
        <v>333</v>
      </c>
      <c r="E54" s="10">
        <v>46203</v>
      </c>
      <c r="G54" s="53">
        <v>1581000</v>
      </c>
      <c r="H54" s="86">
        <f>I54/G54</f>
        <v>0.18399114484503479</v>
      </c>
      <c r="I54" s="53">
        <f>G54-J54-L54-N54-P54-R54-T54-V54</f>
        <v>290890</v>
      </c>
      <c r="J54" s="53">
        <v>668110</v>
      </c>
      <c r="K54" s="26" t="s">
        <v>284</v>
      </c>
      <c r="L54" s="53">
        <v>250000</v>
      </c>
      <c r="M54" s="26" t="s">
        <v>59</v>
      </c>
      <c r="N54" s="53">
        <v>300000</v>
      </c>
      <c r="O54" t="s">
        <v>57</v>
      </c>
      <c r="P54" s="53">
        <v>72000</v>
      </c>
    </row>
    <row r="55" spans="1:22" ht="27.75" customHeight="1" x14ac:dyDescent="0.4">
      <c r="A55" s="12" t="s">
        <v>303</v>
      </c>
      <c r="B55" s="4" t="s">
        <v>304</v>
      </c>
      <c r="C55" s="11">
        <v>46167</v>
      </c>
      <c r="D55" s="5" t="s">
        <v>306</v>
      </c>
      <c r="E55" s="10">
        <v>46171</v>
      </c>
      <c r="G55" s="53">
        <v>272728</v>
      </c>
      <c r="I55" s="53">
        <f>G55-J55-L55-N55-P55-R55-T55-V55</f>
        <v>162728</v>
      </c>
      <c r="K55" s="26" t="s">
        <v>59</v>
      </c>
      <c r="L55" s="53">
        <v>110000</v>
      </c>
    </row>
    <row r="56" spans="1:22" ht="27.75" customHeight="1" x14ac:dyDescent="0.4">
      <c r="A56" s="12" t="s">
        <v>145</v>
      </c>
      <c r="B56" s="4" t="s">
        <v>305</v>
      </c>
      <c r="C56" s="11">
        <v>46171</v>
      </c>
      <c r="D56" s="5" t="s">
        <v>68</v>
      </c>
      <c r="E56" s="10">
        <v>46175</v>
      </c>
      <c r="G56" s="53">
        <v>360000</v>
      </c>
      <c r="I56" s="53">
        <f>G56-J56-L56-N56-P56-R56-T56-V56</f>
        <v>260000</v>
      </c>
      <c r="K56" s="26" t="s">
        <v>59</v>
      </c>
      <c r="L56" s="53">
        <v>100000</v>
      </c>
    </row>
    <row r="57" spans="1:22" ht="27.75" customHeight="1" x14ac:dyDescent="0.4">
      <c r="A57" s="12"/>
      <c r="B57" s="4"/>
      <c r="C57" s="11"/>
      <c r="D57" s="5"/>
      <c r="E57" s="10"/>
    </row>
    <row r="58" spans="1:22" ht="27.75" customHeight="1" x14ac:dyDescent="0.4">
      <c r="A58" s="12" t="s">
        <v>45</v>
      </c>
      <c r="B58" s="4" t="s">
        <v>299</v>
      </c>
      <c r="C58" s="11">
        <v>46174</v>
      </c>
      <c r="D58" s="5" t="s">
        <v>137</v>
      </c>
      <c r="E58" s="10">
        <v>46176</v>
      </c>
      <c r="G58" s="53">
        <v>120000</v>
      </c>
      <c r="I58" s="53">
        <f t="shared" ref="I58:I63" si="10">G58-J58-L58-N58-P58-R58-T58-V58</f>
        <v>66000</v>
      </c>
      <c r="K58" s="40" t="s">
        <v>57</v>
      </c>
      <c r="L58" s="53">
        <v>54000</v>
      </c>
    </row>
    <row r="59" spans="1:22" ht="27.75" customHeight="1" x14ac:dyDescent="0.4">
      <c r="A59" s="12" t="s">
        <v>303</v>
      </c>
      <c r="B59" s="4" t="s">
        <v>307</v>
      </c>
      <c r="C59" s="11">
        <v>46174</v>
      </c>
      <c r="D59" s="5" t="s">
        <v>5</v>
      </c>
      <c r="E59" s="10">
        <v>46184</v>
      </c>
      <c r="G59" s="53">
        <v>990000</v>
      </c>
      <c r="I59" s="53">
        <f t="shared" si="10"/>
        <v>620000</v>
      </c>
      <c r="K59" s="26" t="s">
        <v>60</v>
      </c>
      <c r="L59" s="53">
        <v>370000</v>
      </c>
    </row>
    <row r="60" spans="1:22" ht="27.75" customHeight="1" x14ac:dyDescent="0.4">
      <c r="A60" s="12" t="s">
        <v>267</v>
      </c>
      <c r="B60" s="4" t="s">
        <v>297</v>
      </c>
      <c r="C60" s="11">
        <v>46175</v>
      </c>
      <c r="D60" s="5" t="s">
        <v>66</v>
      </c>
      <c r="E60" s="10">
        <v>46205</v>
      </c>
      <c r="G60" s="53">
        <v>1080000</v>
      </c>
      <c r="H60" s="49">
        <f>I60/G60</f>
        <v>1</v>
      </c>
      <c r="I60" s="53">
        <f t="shared" si="10"/>
        <v>1080000</v>
      </c>
      <c r="J60" s="71"/>
      <c r="K60" s="26" t="s">
        <v>76</v>
      </c>
    </row>
    <row r="61" spans="1:22" ht="27.75" customHeight="1" x14ac:dyDescent="0.4">
      <c r="A61" s="12" t="s">
        <v>267</v>
      </c>
      <c r="B61" s="4" t="s">
        <v>298</v>
      </c>
      <c r="C61" s="11">
        <v>46175</v>
      </c>
      <c r="D61" s="5" t="s">
        <v>66</v>
      </c>
      <c r="E61" s="10">
        <v>46205</v>
      </c>
      <c r="G61" s="53">
        <v>2120000</v>
      </c>
      <c r="H61" s="49">
        <f>I61/G61</f>
        <v>1</v>
      </c>
      <c r="I61" s="53">
        <f t="shared" si="10"/>
        <v>2120000</v>
      </c>
      <c r="J61" s="71"/>
      <c r="K61" s="26" t="s">
        <v>76</v>
      </c>
    </row>
    <row r="62" spans="1:22" ht="27.75" customHeight="1" x14ac:dyDescent="0.4">
      <c r="A62" s="12" t="s">
        <v>175</v>
      </c>
      <c r="B62" s="4" t="s">
        <v>308</v>
      </c>
      <c r="C62" s="11">
        <v>46175</v>
      </c>
      <c r="D62" s="5" t="s">
        <v>260</v>
      </c>
      <c r="E62" s="10">
        <v>46190</v>
      </c>
      <c r="G62" s="53">
        <v>1120000</v>
      </c>
      <c r="I62" s="53">
        <f t="shared" si="10"/>
        <v>770100</v>
      </c>
      <c r="K62" s="40" t="s">
        <v>57</v>
      </c>
      <c r="M62" s="26" t="s">
        <v>109</v>
      </c>
      <c r="N62" s="53">
        <v>230000</v>
      </c>
      <c r="O62" s="26" t="s">
        <v>76</v>
      </c>
      <c r="P62" s="53">
        <v>119900</v>
      </c>
    </row>
    <row r="63" spans="1:22" ht="27.75" customHeight="1" x14ac:dyDescent="0.4">
      <c r="A63" s="12" t="s">
        <v>88</v>
      </c>
      <c r="B63" s="4" t="s">
        <v>309</v>
      </c>
      <c r="C63" s="11">
        <v>46176</v>
      </c>
      <c r="D63" s="5" t="s">
        <v>115</v>
      </c>
      <c r="E63" s="10">
        <v>46237</v>
      </c>
      <c r="G63" s="53">
        <v>5870000</v>
      </c>
      <c r="I63" s="53">
        <f t="shared" si="10"/>
        <v>5870000</v>
      </c>
      <c r="J63" s="71"/>
      <c r="K63" s="40" t="s">
        <v>57</v>
      </c>
      <c r="M63" s="26" t="s">
        <v>109</v>
      </c>
    </row>
    <row r="64" spans="1:22" ht="27.75" customHeight="1" x14ac:dyDescent="0.4">
      <c r="A64" s="12" t="s">
        <v>313</v>
      </c>
      <c r="B64" s="4" t="s">
        <v>314</v>
      </c>
      <c r="C64" s="11">
        <v>46181</v>
      </c>
      <c r="D64" s="5" t="s">
        <v>68</v>
      </c>
      <c r="E64" s="10">
        <v>46184</v>
      </c>
      <c r="G64" s="53">
        <v>150000</v>
      </c>
      <c r="K64" s="26" t="s">
        <v>64</v>
      </c>
    </row>
    <row r="65" spans="1:14" ht="27.75" customHeight="1" x14ac:dyDescent="0.4">
      <c r="A65" s="12" t="s">
        <v>227</v>
      </c>
      <c r="B65" s="4" t="s">
        <v>318</v>
      </c>
      <c r="C65" s="11">
        <v>46186</v>
      </c>
      <c r="D65" s="5"/>
      <c r="E65" s="6"/>
      <c r="G65" s="53">
        <v>4620000</v>
      </c>
      <c r="I65" s="53">
        <f t="shared" ref="I65:I71" si="11">G65-J65-L65-N65-P65-R65-T65-V65</f>
        <v>4620000</v>
      </c>
    </row>
    <row r="66" spans="1:14" ht="27.75" customHeight="1" x14ac:dyDescent="0.4">
      <c r="A66" s="12" t="s">
        <v>48</v>
      </c>
      <c r="B66" s="4" t="s">
        <v>322</v>
      </c>
      <c r="C66" s="11">
        <v>46186</v>
      </c>
      <c r="D66" s="5" t="s">
        <v>101</v>
      </c>
      <c r="E66" s="10">
        <v>46190</v>
      </c>
      <c r="G66" s="53">
        <v>90000</v>
      </c>
      <c r="H66" s="84">
        <f>I66/G66</f>
        <v>0.31111111111111112</v>
      </c>
      <c r="I66" s="53">
        <f t="shared" si="11"/>
        <v>28000</v>
      </c>
      <c r="K66" s="40" t="s">
        <v>57</v>
      </c>
      <c r="L66" s="53">
        <v>40000</v>
      </c>
      <c r="M66" s="26" t="s">
        <v>59</v>
      </c>
      <c r="N66" s="53">
        <v>22000</v>
      </c>
    </row>
    <row r="67" spans="1:14" ht="27.75" customHeight="1" x14ac:dyDescent="0.4">
      <c r="A67" s="12" t="s">
        <v>267</v>
      </c>
      <c r="B67" s="4" t="s">
        <v>315</v>
      </c>
      <c r="C67" s="11">
        <v>46188</v>
      </c>
      <c r="D67" s="5" t="s">
        <v>17</v>
      </c>
      <c r="E67" s="10">
        <v>46223</v>
      </c>
      <c r="I67" s="53">
        <f t="shared" si="11"/>
        <v>-40000</v>
      </c>
      <c r="J67" s="71"/>
      <c r="K67" s="40" t="s">
        <v>57</v>
      </c>
      <c r="L67" s="53">
        <v>40000</v>
      </c>
      <c r="M67" s="26" t="s">
        <v>76</v>
      </c>
    </row>
    <row r="68" spans="1:14" ht="27.75" customHeight="1" x14ac:dyDescent="0.4">
      <c r="A68" s="12" t="s">
        <v>320</v>
      </c>
      <c r="B68" s="4" t="s">
        <v>319</v>
      </c>
      <c r="C68" s="11">
        <v>46190</v>
      </c>
      <c r="D68" s="5" t="s">
        <v>40</v>
      </c>
      <c r="E68" s="10">
        <v>46197</v>
      </c>
      <c r="G68" s="53">
        <v>300000</v>
      </c>
      <c r="I68" s="53">
        <f t="shared" si="11"/>
        <v>30000</v>
      </c>
      <c r="J68" s="71"/>
      <c r="K68" s="26" t="s">
        <v>99</v>
      </c>
      <c r="L68" s="53">
        <v>270000</v>
      </c>
    </row>
    <row r="69" spans="1:14" ht="27.75" customHeight="1" x14ac:dyDescent="0.4">
      <c r="A69" s="12" t="s">
        <v>227</v>
      </c>
      <c r="B69" s="4" t="s">
        <v>328</v>
      </c>
      <c r="C69" s="11">
        <v>46192</v>
      </c>
      <c r="D69" s="5"/>
      <c r="E69" s="6"/>
      <c r="G69" s="53">
        <v>7700000</v>
      </c>
      <c r="I69" s="53">
        <f>G69-J69-L69-N69-P69-R69-T69-V69</f>
        <v>7700000</v>
      </c>
      <c r="K69" s="26" t="s">
        <v>329</v>
      </c>
    </row>
    <row r="70" spans="1:14" ht="27.75" customHeight="1" x14ac:dyDescent="0.4">
      <c r="A70" s="12" t="s">
        <v>45</v>
      </c>
      <c r="B70" s="4" t="s">
        <v>323</v>
      </c>
      <c r="C70" s="11">
        <v>46195</v>
      </c>
      <c r="D70" s="5" t="s">
        <v>20</v>
      </c>
      <c r="E70" s="10">
        <v>46215</v>
      </c>
      <c r="G70" s="53">
        <v>360000</v>
      </c>
      <c r="I70" s="53">
        <f t="shared" si="11"/>
        <v>360000</v>
      </c>
      <c r="K70" s="40" t="s">
        <v>57</v>
      </c>
    </row>
    <row r="71" spans="1:14" ht="27.75" customHeight="1" x14ac:dyDescent="0.4">
      <c r="A71" s="12" t="s">
        <v>325</v>
      </c>
      <c r="B71" s="4" t="s">
        <v>324</v>
      </c>
      <c r="C71" s="11">
        <v>46195</v>
      </c>
      <c r="D71" s="5" t="s">
        <v>20</v>
      </c>
      <c r="E71" s="10">
        <v>46215</v>
      </c>
      <c r="G71" s="53">
        <v>980000</v>
      </c>
      <c r="I71" s="53">
        <f t="shared" si="11"/>
        <v>980000</v>
      </c>
      <c r="K71" s="40" t="s">
        <v>57</v>
      </c>
    </row>
    <row r="72" spans="1:14" ht="27.75" customHeight="1" x14ac:dyDescent="0.4">
      <c r="A72" s="12" t="s">
        <v>227</v>
      </c>
      <c r="B72" s="4" t="s">
        <v>330</v>
      </c>
      <c r="C72" s="11">
        <v>46200</v>
      </c>
      <c r="D72" s="5"/>
      <c r="E72" s="6"/>
      <c r="G72" s="53">
        <v>233600</v>
      </c>
      <c r="I72" s="53">
        <f>G72-J72-L72-N72-P72-R72-T72-V72</f>
        <v>233600</v>
      </c>
      <c r="K72" s="40" t="s">
        <v>57</v>
      </c>
    </row>
    <row r="73" spans="1:14" ht="27.75" customHeight="1" x14ac:dyDescent="0.4">
      <c r="A73" s="12" t="s">
        <v>331</v>
      </c>
      <c r="B73" s="4" t="s">
        <v>332</v>
      </c>
      <c r="C73" s="11">
        <v>46201</v>
      </c>
      <c r="D73" s="5" t="s">
        <v>97</v>
      </c>
      <c r="E73" s="6"/>
      <c r="G73" s="53">
        <v>120000</v>
      </c>
      <c r="I73" s="53">
        <f>G73-J73-L73-N73-P73-R73-T73-V73</f>
        <v>48000</v>
      </c>
      <c r="K73" s="40" t="s">
        <v>57</v>
      </c>
      <c r="L73" s="53">
        <v>72000</v>
      </c>
    </row>
    <row r="74" spans="1:14" ht="27.75" customHeight="1" x14ac:dyDescent="0.4">
      <c r="A74" s="12" t="s">
        <v>331</v>
      </c>
      <c r="B74" s="4" t="s">
        <v>334</v>
      </c>
      <c r="C74" s="11">
        <v>46203</v>
      </c>
      <c r="D74" s="5" t="s">
        <v>97</v>
      </c>
      <c r="E74" s="6"/>
      <c r="G74" s="53">
        <v>170000</v>
      </c>
      <c r="I74" s="53">
        <f>G74-J74-L74-N74-P74-R74-T74-V74</f>
        <v>58000</v>
      </c>
      <c r="J74" s="53">
        <v>40000</v>
      </c>
      <c r="K74" s="40" t="s">
        <v>57</v>
      </c>
      <c r="L74" s="53">
        <v>72000</v>
      </c>
    </row>
    <row r="75" spans="1:14" ht="27.75" customHeight="1" x14ac:dyDescent="0.4">
      <c r="A75" s="12"/>
      <c r="B75" s="12"/>
      <c r="C75" s="11"/>
      <c r="D75" s="5"/>
      <c r="E75" s="10"/>
      <c r="K75" s="40"/>
    </row>
    <row r="76" spans="1:14" ht="27.75" customHeight="1" x14ac:dyDescent="0.4">
      <c r="A76" s="12" t="s">
        <v>76</v>
      </c>
      <c r="B76" s="12" t="s">
        <v>326</v>
      </c>
      <c r="C76" s="11">
        <v>46204</v>
      </c>
      <c r="D76" s="5" t="s">
        <v>82</v>
      </c>
      <c r="E76" s="10">
        <v>46214</v>
      </c>
      <c r="G76" s="53">
        <v>1830000</v>
      </c>
      <c r="I76" s="53">
        <f>G76-J76-L76-N76-P76-R76-T76-V76</f>
        <v>1830000</v>
      </c>
      <c r="K76" s="30" t="s">
        <v>91</v>
      </c>
    </row>
    <row r="77" spans="1:14" ht="27.75" customHeight="1" x14ac:dyDescent="0.4">
      <c r="A77" s="12" t="s">
        <v>227</v>
      </c>
      <c r="B77" s="4" t="s">
        <v>337</v>
      </c>
      <c r="C77" s="11">
        <v>46205</v>
      </c>
      <c r="D77" s="5"/>
      <c r="E77" s="6"/>
      <c r="I77" s="53">
        <f>G77-J77-L77-N77-P77-R77-T77-V77</f>
        <v>0</v>
      </c>
    </row>
    <row r="78" spans="1:14" ht="27.75" customHeight="1" x14ac:dyDescent="0.4">
      <c r="A78" s="12" t="s">
        <v>227</v>
      </c>
      <c r="B78" s="4" t="s">
        <v>340</v>
      </c>
      <c r="C78" s="11">
        <v>46205</v>
      </c>
      <c r="D78" s="5"/>
      <c r="E78" s="6"/>
      <c r="J78" s="71"/>
    </row>
    <row r="79" spans="1:14" ht="27.75" customHeight="1" x14ac:dyDescent="0.4">
      <c r="A79" s="12" t="s">
        <v>227</v>
      </c>
      <c r="B79" s="4" t="s">
        <v>342</v>
      </c>
      <c r="C79" s="11">
        <v>46207</v>
      </c>
      <c r="D79" s="5"/>
      <c r="E79" s="6"/>
      <c r="J79" s="71"/>
      <c r="K79" s="26" t="s">
        <v>64</v>
      </c>
      <c r="L79" s="53">
        <v>600000</v>
      </c>
    </row>
    <row r="80" spans="1:14" ht="27.75" customHeight="1" x14ac:dyDescent="0.4">
      <c r="A80" s="12" t="s">
        <v>227</v>
      </c>
      <c r="B80" s="4" t="s">
        <v>338</v>
      </c>
      <c r="C80" s="11">
        <v>46209</v>
      </c>
      <c r="D80" s="5"/>
      <c r="E80" s="6"/>
      <c r="J80" s="71"/>
    </row>
    <row r="81" spans="1:18" ht="27.75" customHeight="1" x14ac:dyDescent="0.4">
      <c r="A81" s="12" t="s">
        <v>227</v>
      </c>
      <c r="B81" s="4" t="s">
        <v>341</v>
      </c>
      <c r="C81" s="11">
        <v>46209</v>
      </c>
      <c r="D81" s="5"/>
      <c r="E81" s="6"/>
    </row>
    <row r="82" spans="1:18" ht="27.75" customHeight="1" x14ac:dyDescent="0.4">
      <c r="A82" s="12" t="s">
        <v>48</v>
      </c>
      <c r="B82" s="4" t="s">
        <v>339</v>
      </c>
      <c r="C82" s="11">
        <v>46210</v>
      </c>
      <c r="D82" s="5" t="s">
        <v>68</v>
      </c>
      <c r="E82" s="10">
        <v>46209</v>
      </c>
      <c r="G82" s="53">
        <v>110000</v>
      </c>
      <c r="H82" s="85">
        <f>I82/G82</f>
        <v>0.45454545454545453</v>
      </c>
      <c r="I82" s="53">
        <f t="shared" ref="I82:I88" si="12">G82-J82-L82-N82-P82-R82-T82-V82</f>
        <v>50000</v>
      </c>
      <c r="J82" s="53">
        <v>20000</v>
      </c>
      <c r="K82" s="26" t="s">
        <v>57</v>
      </c>
      <c r="L82" s="53">
        <v>40000</v>
      </c>
    </row>
    <row r="83" spans="1:18" ht="27.75" customHeight="1" x14ac:dyDescent="0.4">
      <c r="A83" s="12" t="s">
        <v>161</v>
      </c>
      <c r="B83" s="4" t="s">
        <v>327</v>
      </c>
      <c r="C83" s="11">
        <v>46213</v>
      </c>
      <c r="D83" s="5" t="s">
        <v>115</v>
      </c>
      <c r="E83" s="10">
        <v>46275</v>
      </c>
      <c r="G83" s="53">
        <v>6000000</v>
      </c>
      <c r="I83" s="53">
        <f t="shared" si="12"/>
        <v>600000</v>
      </c>
      <c r="K83" s="26" t="s">
        <v>60</v>
      </c>
      <c r="L83" s="53">
        <v>5400000</v>
      </c>
    </row>
    <row r="84" spans="1:18" ht="27.75" customHeight="1" x14ac:dyDescent="0.4">
      <c r="A84" s="12" t="s">
        <v>227</v>
      </c>
      <c r="B84" s="4" t="s">
        <v>335</v>
      </c>
      <c r="C84" s="11">
        <v>46217</v>
      </c>
      <c r="D84" s="5"/>
      <c r="E84" s="6"/>
      <c r="G84" s="53">
        <v>3600000</v>
      </c>
      <c r="I84" s="53">
        <f t="shared" si="12"/>
        <v>1290000</v>
      </c>
      <c r="K84" s="26" t="s">
        <v>214</v>
      </c>
      <c r="M84" s="26" t="s">
        <v>336</v>
      </c>
      <c r="N84" s="53">
        <v>1550000</v>
      </c>
      <c r="O84" t="s">
        <v>109</v>
      </c>
      <c r="P84" s="53">
        <v>360000</v>
      </c>
      <c r="Q84" t="s">
        <v>284</v>
      </c>
      <c r="R84" s="53">
        <v>400000</v>
      </c>
    </row>
    <row r="85" spans="1:18" ht="27.75" customHeight="1" x14ac:dyDescent="0.4">
      <c r="A85" s="12" t="s">
        <v>265</v>
      </c>
      <c r="B85" s="4" t="s">
        <v>266</v>
      </c>
      <c r="C85" s="11">
        <v>46223</v>
      </c>
      <c r="D85" s="5" t="s">
        <v>264</v>
      </c>
      <c r="E85" s="10">
        <v>46254</v>
      </c>
      <c r="G85" s="53">
        <v>3100000</v>
      </c>
      <c r="H85" s="49">
        <f>I85/G85</f>
        <v>1</v>
      </c>
      <c r="I85" s="53">
        <f t="shared" si="12"/>
        <v>3100000</v>
      </c>
      <c r="K85" s="30" t="s">
        <v>91</v>
      </c>
    </row>
    <row r="86" spans="1:18" ht="27.75" customHeight="1" x14ac:dyDescent="0.4">
      <c r="A86" s="12"/>
      <c r="B86" s="4"/>
      <c r="C86" s="11"/>
      <c r="D86" s="5"/>
      <c r="E86" s="10"/>
      <c r="K86" s="30"/>
    </row>
    <row r="87" spans="1:18" ht="27.75" customHeight="1" x14ac:dyDescent="0.4">
      <c r="A87" s="12" t="s">
        <v>267</v>
      </c>
      <c r="B87" s="4" t="s">
        <v>312</v>
      </c>
      <c r="C87" s="11">
        <v>46251</v>
      </c>
      <c r="D87" s="5" t="s">
        <v>66</v>
      </c>
      <c r="E87" s="10">
        <v>46282</v>
      </c>
      <c r="G87" s="53">
        <v>1050000</v>
      </c>
      <c r="H87" s="49">
        <f>I87/G87</f>
        <v>1</v>
      </c>
      <c r="I87" s="53">
        <f t="shared" si="12"/>
        <v>1050000</v>
      </c>
      <c r="K87" s="26" t="s">
        <v>76</v>
      </c>
    </row>
    <row r="88" spans="1:18" ht="27.75" customHeight="1" x14ac:dyDescent="0.4">
      <c r="A88" s="12" t="s">
        <v>317</v>
      </c>
      <c r="B88" s="4" t="s">
        <v>316</v>
      </c>
      <c r="C88" s="5"/>
      <c r="D88" s="5"/>
      <c r="E88" s="6"/>
      <c r="G88" s="72" t="s">
        <v>321</v>
      </c>
      <c r="I88" s="53" t="e">
        <f t="shared" si="12"/>
        <v>#VALUE!</v>
      </c>
      <c r="K88" s="26" t="s">
        <v>214</v>
      </c>
    </row>
    <row r="89" spans="1:18" ht="27.75" customHeight="1" x14ac:dyDescent="0.4">
      <c r="A89" s="12"/>
      <c r="B89" s="4"/>
      <c r="C89" s="5"/>
      <c r="D89" s="5"/>
      <c r="E89" s="6"/>
    </row>
    <row r="90" spans="1:18" ht="27.75" customHeight="1" x14ac:dyDescent="0.4">
      <c r="A90" s="12" t="s">
        <v>267</v>
      </c>
      <c r="B90" s="4" t="s">
        <v>343</v>
      </c>
      <c r="C90" s="5"/>
      <c r="D90" s="5"/>
      <c r="E90" s="6"/>
    </row>
    <row r="91" spans="1:18" ht="27.75" customHeight="1" x14ac:dyDescent="0.4">
      <c r="A91" s="12" t="s">
        <v>267</v>
      </c>
      <c r="B91" s="4" t="s">
        <v>344</v>
      </c>
      <c r="C91" s="5"/>
      <c r="D91" s="5"/>
      <c r="E91" s="6"/>
    </row>
    <row r="92" spans="1:18" ht="27.75" customHeight="1" x14ac:dyDescent="0.4">
      <c r="A92" s="12" t="s">
        <v>267</v>
      </c>
      <c r="B92" s="4" t="s">
        <v>345</v>
      </c>
      <c r="C92" s="5"/>
      <c r="D92" s="5"/>
      <c r="E92" s="6"/>
    </row>
    <row r="93" spans="1:18" ht="27.75" customHeight="1" x14ac:dyDescent="0.4">
      <c r="A93" s="12" t="s">
        <v>267</v>
      </c>
      <c r="B93" s="4" t="s">
        <v>346</v>
      </c>
      <c r="C93" s="5"/>
      <c r="D93" s="5"/>
      <c r="E93" s="6"/>
    </row>
    <row r="94" spans="1:18" ht="27.75" customHeight="1" x14ac:dyDescent="0.4">
      <c r="A94" s="12" t="s">
        <v>251</v>
      </c>
      <c r="B94" s="4" t="s">
        <v>347</v>
      </c>
      <c r="C94" s="11">
        <v>46224</v>
      </c>
      <c r="D94" s="5"/>
      <c r="E94" s="6"/>
    </row>
    <row r="95" spans="1:18" ht="27.75" customHeight="1" x14ac:dyDescent="0.4">
      <c r="A95" s="12" t="s">
        <v>267</v>
      </c>
      <c r="B95" s="4" t="s">
        <v>348</v>
      </c>
      <c r="C95" s="5"/>
      <c r="D95" s="5"/>
      <c r="E95" s="6"/>
    </row>
    <row r="96" spans="1:18" ht="27.75" customHeight="1" x14ac:dyDescent="0.4">
      <c r="A96" s="12" t="s">
        <v>251</v>
      </c>
      <c r="B96" s="4" t="s">
        <v>349</v>
      </c>
      <c r="C96" s="5"/>
      <c r="D96" s="5"/>
      <c r="E96" s="6"/>
    </row>
    <row r="97" spans="1:7" ht="27.75" customHeight="1" x14ac:dyDescent="0.4">
      <c r="A97" s="12" t="s">
        <v>336</v>
      </c>
      <c r="B97" s="4" t="s">
        <v>350</v>
      </c>
      <c r="C97" s="11">
        <v>46235</v>
      </c>
      <c r="D97" s="5">
        <v>30</v>
      </c>
      <c r="E97" s="10">
        <v>46265</v>
      </c>
    </row>
    <row r="98" spans="1:7" ht="27.75" customHeight="1" x14ac:dyDescent="0.4">
      <c r="A98" s="12" t="s">
        <v>251</v>
      </c>
      <c r="B98" s="4" t="s">
        <v>351</v>
      </c>
      <c r="C98" s="5"/>
      <c r="D98" s="5"/>
      <c r="E98" s="6"/>
    </row>
    <row r="99" spans="1:7" ht="27.75" customHeight="1" x14ac:dyDescent="0.4">
      <c r="A99" s="12" t="s">
        <v>227</v>
      </c>
      <c r="B99" s="4" t="s">
        <v>352</v>
      </c>
      <c r="C99" s="11">
        <v>46248</v>
      </c>
      <c r="D99" s="5"/>
      <c r="E99" s="6"/>
    </row>
    <row r="100" spans="1:7" ht="27.75" customHeight="1" x14ac:dyDescent="0.4">
      <c r="A100" s="12" t="s">
        <v>227</v>
      </c>
      <c r="B100" s="4" t="s">
        <v>353</v>
      </c>
      <c r="C100" s="11">
        <v>46251</v>
      </c>
      <c r="D100" s="5"/>
      <c r="E100" s="6"/>
      <c r="G100" s="53">
        <v>10248615</v>
      </c>
    </row>
    <row r="101" spans="1:7" ht="27.75" customHeight="1" x14ac:dyDescent="0.4">
      <c r="A101" s="12" t="s">
        <v>227</v>
      </c>
      <c r="B101" s="4" t="s">
        <v>354</v>
      </c>
      <c r="C101" s="11">
        <v>46236</v>
      </c>
      <c r="D101" s="5"/>
      <c r="E101" s="6"/>
      <c r="G101" s="53">
        <v>3080000</v>
      </c>
    </row>
    <row r="102" spans="1:7" ht="27.75" customHeight="1" x14ac:dyDescent="0.4">
      <c r="A102" s="12" t="s">
        <v>227</v>
      </c>
      <c r="B102" s="4" t="s">
        <v>355</v>
      </c>
      <c r="C102" s="11">
        <v>46246</v>
      </c>
      <c r="D102" s="5"/>
      <c r="E102" s="6"/>
      <c r="G102" s="53">
        <v>2849000</v>
      </c>
    </row>
    <row r="103" spans="1:7" ht="27.75" customHeight="1" x14ac:dyDescent="0.4">
      <c r="A103" s="12" t="s">
        <v>331</v>
      </c>
      <c r="B103" s="4" t="s">
        <v>356</v>
      </c>
      <c r="C103" s="11">
        <v>46259</v>
      </c>
      <c r="D103" s="5" t="s">
        <v>68</v>
      </c>
      <c r="E103" s="10">
        <v>46262</v>
      </c>
      <c r="G103" s="53">
        <v>140000</v>
      </c>
    </row>
    <row r="104" spans="1:7" ht="27.75" customHeight="1" x14ac:dyDescent="0.4">
      <c r="A104" s="12"/>
      <c r="B104" s="4"/>
      <c r="C104" s="5"/>
      <c r="D104" s="5"/>
      <c r="E104" s="6"/>
    </row>
    <row r="105" spans="1:7" ht="27.75" customHeight="1" x14ac:dyDescent="0.4">
      <c r="A105" s="12"/>
      <c r="B105" s="4"/>
      <c r="C105" s="5"/>
      <c r="D105" s="5"/>
      <c r="E105" s="6"/>
    </row>
    <row r="106" spans="1:7" ht="27.75" customHeight="1" x14ac:dyDescent="0.4">
      <c r="A106" s="12"/>
      <c r="B106" s="4"/>
      <c r="C106" s="5"/>
      <c r="D106" s="5"/>
      <c r="E106" s="6"/>
    </row>
    <row r="107" spans="1:7" ht="27.75" customHeight="1" x14ac:dyDescent="0.4">
      <c r="A107" s="12"/>
      <c r="B107" s="4"/>
      <c r="C107" s="5"/>
      <c r="D107" s="5"/>
      <c r="E107" s="6"/>
    </row>
    <row r="108" spans="1:7" ht="27.75" customHeight="1" x14ac:dyDescent="0.4">
      <c r="A108" s="12"/>
      <c r="B108" s="4"/>
      <c r="C108" s="5"/>
      <c r="D108" s="5"/>
      <c r="E108" s="6"/>
    </row>
    <row r="109" spans="1:7" ht="27.75" customHeight="1" x14ac:dyDescent="0.4">
      <c r="A109" s="12"/>
      <c r="B109" s="4"/>
      <c r="C109" s="5"/>
      <c r="D109" s="5"/>
      <c r="E109" s="6"/>
    </row>
    <row r="110" spans="1:7" ht="27.75" customHeight="1" x14ac:dyDescent="0.4">
      <c r="A110" s="12"/>
      <c r="B110" s="4"/>
      <c r="C110" s="5"/>
      <c r="D110" s="5"/>
      <c r="E110" s="6"/>
    </row>
    <row r="111" spans="1:7" ht="27.75" customHeight="1" x14ac:dyDescent="0.4">
      <c r="A111" s="12"/>
      <c r="B111" s="4"/>
      <c r="C111" s="5"/>
      <c r="D111" s="5"/>
      <c r="E111" s="6"/>
    </row>
    <row r="112" spans="1:7" ht="27.75" customHeight="1" x14ac:dyDescent="0.4">
      <c r="A112" s="12"/>
      <c r="B112" s="4"/>
      <c r="C112" s="5"/>
      <c r="D112" s="5"/>
      <c r="E112" s="6"/>
    </row>
    <row r="113" spans="1:5" ht="27.75" customHeight="1" x14ac:dyDescent="0.4">
      <c r="A113" s="12"/>
      <c r="B113" s="4"/>
      <c r="C113" s="5"/>
      <c r="D113" s="5"/>
      <c r="E113" s="6"/>
    </row>
    <row r="114" spans="1:5" ht="27.75" customHeight="1" x14ac:dyDescent="0.4">
      <c r="A114" s="12"/>
      <c r="B114" s="4"/>
      <c r="C114" s="5"/>
      <c r="D114" s="5"/>
      <c r="E114" s="6"/>
    </row>
    <row r="115" spans="1:5" ht="27.75" customHeight="1" x14ac:dyDescent="0.4">
      <c r="A115" s="12"/>
      <c r="B115" s="4"/>
      <c r="C115" s="5"/>
      <c r="D115" s="5"/>
      <c r="E115" s="6"/>
    </row>
    <row r="116" spans="1:5" ht="27.75" customHeight="1" x14ac:dyDescent="0.4">
      <c r="A116" s="12"/>
      <c r="B116" s="4"/>
      <c r="C116" s="5"/>
      <c r="D116" s="5"/>
      <c r="E116" s="6"/>
    </row>
    <row r="117" spans="1:5" ht="27.75" customHeight="1" x14ac:dyDescent="0.4">
      <c r="A117" s="12"/>
      <c r="B117" s="4"/>
      <c r="C117" s="5"/>
      <c r="D117" s="5"/>
      <c r="E117" s="6"/>
    </row>
    <row r="118" spans="1:5" ht="27.75" customHeight="1" x14ac:dyDescent="0.4">
      <c r="A118" s="12"/>
      <c r="B118" s="4"/>
      <c r="C118" s="5"/>
      <c r="D118" s="5"/>
      <c r="E118" s="6"/>
    </row>
    <row r="119" spans="1:5" ht="27.75" customHeight="1" x14ac:dyDescent="0.4">
      <c r="A119" s="12"/>
      <c r="B119" s="4"/>
      <c r="C119" s="5"/>
      <c r="D119" s="5"/>
      <c r="E119" s="6"/>
    </row>
    <row r="120" spans="1:5" ht="27.75" customHeight="1" x14ac:dyDescent="0.4">
      <c r="A120" s="12"/>
      <c r="B120" s="4"/>
      <c r="C120" s="5"/>
      <c r="D120" s="5"/>
      <c r="E120" s="6"/>
    </row>
    <row r="121" spans="1:5" ht="27.75" customHeight="1" x14ac:dyDescent="0.4">
      <c r="A121" s="12"/>
      <c r="B121" s="4"/>
      <c r="C121" s="5"/>
      <c r="D121" s="5"/>
      <c r="E121" s="6"/>
    </row>
    <row r="122" spans="1:5" ht="27.75" customHeight="1" x14ac:dyDescent="0.4">
      <c r="A122" s="12"/>
      <c r="B122" s="4"/>
      <c r="C122" s="5"/>
      <c r="D122" s="5"/>
      <c r="E122" s="6"/>
    </row>
    <row r="123" spans="1:5" ht="27.75" customHeight="1" x14ac:dyDescent="0.4">
      <c r="A123" s="12"/>
      <c r="B123" s="4"/>
      <c r="C123" s="5"/>
      <c r="D123" s="5"/>
      <c r="E123" s="6"/>
    </row>
    <row r="124" spans="1:5" ht="27.75" customHeight="1" x14ac:dyDescent="0.4">
      <c r="A124" s="12"/>
      <c r="B124" s="4"/>
      <c r="C124" s="5"/>
      <c r="D124" s="5"/>
      <c r="E124" s="6"/>
    </row>
    <row r="125" spans="1:5" ht="27.75" customHeight="1" x14ac:dyDescent="0.4">
      <c r="A125" s="12"/>
      <c r="B125" s="4"/>
      <c r="C125" s="5"/>
      <c r="D125" s="5"/>
      <c r="E125" s="6"/>
    </row>
    <row r="126" spans="1:5" ht="27.75" customHeight="1" x14ac:dyDescent="0.4">
      <c r="A126" s="12"/>
      <c r="B126" s="4"/>
      <c r="C126" s="5"/>
      <c r="D126" s="5"/>
      <c r="E126" s="6"/>
    </row>
    <row r="127" spans="1:5" ht="27.75" customHeight="1" x14ac:dyDescent="0.4">
      <c r="A127" s="12"/>
      <c r="B127" s="4"/>
      <c r="C127" s="5"/>
      <c r="D127" s="5"/>
      <c r="E127" s="6"/>
    </row>
    <row r="128" spans="1:5" ht="27.75" customHeight="1" x14ac:dyDescent="0.4">
      <c r="A128" s="12"/>
      <c r="B128" s="4"/>
      <c r="C128" s="5"/>
      <c r="D128" s="5"/>
      <c r="E128" s="6"/>
    </row>
    <row r="129" spans="1:5" ht="27.75" customHeight="1" x14ac:dyDescent="0.4">
      <c r="A129" s="12"/>
      <c r="B129" s="4"/>
      <c r="C129" s="5"/>
      <c r="D129" s="5"/>
      <c r="E129" s="6"/>
    </row>
    <row r="130" spans="1:5" ht="27.75" customHeight="1" x14ac:dyDescent="0.4">
      <c r="A130" s="12"/>
      <c r="B130" s="4"/>
      <c r="C130" s="5"/>
      <c r="D130" s="5"/>
      <c r="E130" s="6"/>
    </row>
    <row r="131" spans="1:5" ht="27.75" customHeight="1" x14ac:dyDescent="0.4">
      <c r="A131" s="12"/>
      <c r="B131" s="4"/>
      <c r="C131" s="5"/>
      <c r="D131" s="5"/>
      <c r="E131" s="6"/>
    </row>
    <row r="132" spans="1:5" ht="27.75" customHeight="1" x14ac:dyDescent="0.4">
      <c r="A132" s="12"/>
      <c r="B132" s="4"/>
      <c r="C132" s="5"/>
      <c r="D132" s="5"/>
      <c r="E132" s="6"/>
    </row>
    <row r="133" spans="1:5" ht="27.75" customHeight="1" x14ac:dyDescent="0.4">
      <c r="A133" s="12"/>
      <c r="B133" s="4"/>
      <c r="C133" s="5"/>
      <c r="D133" s="5"/>
      <c r="E133" s="6"/>
    </row>
    <row r="134" spans="1:5" ht="27.75" customHeight="1" x14ac:dyDescent="0.4">
      <c r="A134" s="12"/>
      <c r="B134" s="4"/>
      <c r="C134" s="5"/>
      <c r="D134" s="5"/>
      <c r="E134" s="6"/>
    </row>
    <row r="135" spans="1:5" ht="27.75" customHeight="1" x14ac:dyDescent="0.4">
      <c r="A135" s="12"/>
      <c r="B135" s="4"/>
      <c r="C135" s="5"/>
      <c r="D135" s="5"/>
      <c r="E135" s="6"/>
    </row>
    <row r="136" spans="1:5" ht="27.75" customHeight="1" x14ac:dyDescent="0.4">
      <c r="A136" s="12"/>
      <c r="B136" s="4"/>
      <c r="C136" s="5"/>
      <c r="D136" s="5"/>
      <c r="E136" s="6"/>
    </row>
    <row r="137" spans="1:5" ht="27.75" customHeight="1" x14ac:dyDescent="0.4">
      <c r="A137" s="12"/>
      <c r="B137" s="4"/>
      <c r="C137" s="5"/>
      <c r="D137" s="5"/>
      <c r="E137" s="6"/>
    </row>
    <row r="138" spans="1:5" ht="27.75" customHeight="1" x14ac:dyDescent="0.4">
      <c r="A138" s="12"/>
      <c r="B138" s="4"/>
      <c r="C138" s="5"/>
      <c r="D138" s="5"/>
      <c r="E138" s="6"/>
    </row>
    <row r="139" spans="1:5" ht="27.75" customHeight="1" x14ac:dyDescent="0.4">
      <c r="A139" s="12"/>
      <c r="B139" s="4"/>
      <c r="C139" s="5"/>
      <c r="D139" s="5"/>
      <c r="E139" s="6"/>
    </row>
    <row r="140" spans="1:5" ht="27.75" customHeight="1" x14ac:dyDescent="0.4">
      <c r="A140" s="12"/>
      <c r="B140" s="4"/>
      <c r="C140" s="5"/>
      <c r="D140" s="5"/>
      <c r="E140" s="6"/>
    </row>
    <row r="141" spans="1:5" ht="27.75" customHeight="1" x14ac:dyDescent="0.4">
      <c r="A141" s="12"/>
      <c r="B141" s="4"/>
      <c r="C141" s="5"/>
      <c r="D141" s="5"/>
      <c r="E141" s="6"/>
    </row>
    <row r="142" spans="1:5" ht="27.75" customHeight="1" x14ac:dyDescent="0.4">
      <c r="A142" s="12"/>
      <c r="B142" s="4"/>
      <c r="C142" s="5"/>
      <c r="D142" s="5"/>
      <c r="E142" s="6"/>
    </row>
    <row r="143" spans="1:5" ht="27.75" customHeight="1" x14ac:dyDescent="0.4">
      <c r="B143" s="4"/>
      <c r="C143" s="5"/>
      <c r="D143" s="5"/>
      <c r="E143" s="6"/>
    </row>
    <row r="144" spans="1:5" ht="27.75" customHeight="1" x14ac:dyDescent="0.4">
      <c r="B144" s="4"/>
      <c r="C144" s="5"/>
      <c r="D144" s="5"/>
      <c r="E144" s="6"/>
    </row>
    <row r="145" spans="2:5" ht="27.75" customHeight="1" x14ac:dyDescent="0.4">
      <c r="B145" s="4"/>
      <c r="C145" s="5"/>
      <c r="D145" s="5"/>
      <c r="E145" s="6"/>
    </row>
    <row r="146" spans="2:5" ht="27.75" customHeight="1" x14ac:dyDescent="0.4">
      <c r="B146" s="4"/>
      <c r="C146" s="5"/>
      <c r="D146" s="5"/>
      <c r="E146" s="6"/>
    </row>
    <row r="147" spans="2:5" ht="27.75" customHeight="1" x14ac:dyDescent="0.4">
      <c r="B147" s="4"/>
      <c r="C147" s="5"/>
      <c r="D147" s="5"/>
      <c r="E147" s="6"/>
    </row>
    <row r="148" spans="2:5" ht="27.75" customHeight="1" x14ac:dyDescent="0.4">
      <c r="B148" s="4"/>
      <c r="C148" s="5"/>
      <c r="D148" s="5"/>
      <c r="E148" s="6"/>
    </row>
    <row r="149" spans="2:5" ht="27.75" customHeight="1" x14ac:dyDescent="0.4">
      <c r="B149" s="4"/>
      <c r="C149" s="5"/>
      <c r="D149" s="5"/>
      <c r="E149" s="6"/>
    </row>
    <row r="150" spans="2:5" ht="27.75" customHeight="1" x14ac:dyDescent="0.4">
      <c r="B150" s="4"/>
      <c r="C150" s="5"/>
      <c r="D150" s="5"/>
      <c r="E150" s="6"/>
    </row>
    <row r="151" spans="2:5" ht="27.75" customHeight="1" x14ac:dyDescent="0.4">
      <c r="B151" s="4"/>
      <c r="C151" s="5"/>
      <c r="D151" s="5"/>
      <c r="E151" s="6"/>
    </row>
    <row r="152" spans="2:5" ht="27.75" customHeight="1" x14ac:dyDescent="0.4">
      <c r="B152" s="4"/>
      <c r="C152" s="5"/>
      <c r="D152" s="5"/>
      <c r="E152" s="6"/>
    </row>
    <row r="153" spans="2:5" ht="27.75" customHeight="1" x14ac:dyDescent="0.4">
      <c r="B153" s="4"/>
      <c r="C153" s="5"/>
      <c r="D153" s="5"/>
      <c r="E153" s="6"/>
    </row>
    <row r="154" spans="2:5" ht="27.75" customHeight="1" x14ac:dyDescent="0.4">
      <c r="B154" s="4"/>
      <c r="C154" s="5"/>
      <c r="D154" s="5"/>
      <c r="E154" s="6"/>
    </row>
    <row r="155" spans="2:5" ht="27.75" customHeight="1" x14ac:dyDescent="0.4">
      <c r="B155" s="4"/>
      <c r="C155" s="5"/>
      <c r="D155" s="5"/>
      <c r="E155" s="6"/>
    </row>
    <row r="156" spans="2:5" ht="27.75" customHeight="1" x14ac:dyDescent="0.4">
      <c r="B156" s="4"/>
      <c r="C156" s="5"/>
      <c r="D156" s="5"/>
      <c r="E156" s="6"/>
    </row>
    <row r="157" spans="2:5" ht="27.75" customHeight="1" x14ac:dyDescent="0.4">
      <c r="B157" s="4"/>
      <c r="C157" s="5"/>
      <c r="D157" s="5"/>
      <c r="E157" s="6"/>
    </row>
    <row r="158" spans="2:5" ht="27.75" customHeight="1" x14ac:dyDescent="0.4">
      <c r="B158" s="4"/>
      <c r="C158" s="5"/>
      <c r="D158" s="5"/>
      <c r="E158" s="6"/>
    </row>
    <row r="159" spans="2:5" ht="27.75" customHeight="1" x14ac:dyDescent="0.4">
      <c r="B159" s="4"/>
      <c r="C159" s="5"/>
      <c r="D159" s="5"/>
      <c r="E159" s="6"/>
    </row>
    <row r="160" spans="2:5" ht="27.75" customHeight="1" x14ac:dyDescent="0.4">
      <c r="B160" s="4"/>
      <c r="C160" s="5"/>
      <c r="D160" s="5"/>
      <c r="E160" s="6"/>
    </row>
    <row r="161" spans="2:5" ht="27.75" customHeight="1" x14ac:dyDescent="0.4">
      <c r="B161" s="4"/>
      <c r="C161" s="5"/>
      <c r="D161" s="5"/>
      <c r="E161" s="6"/>
    </row>
    <row r="162" spans="2:5" ht="27.75" customHeight="1" x14ac:dyDescent="0.4">
      <c r="B162" s="4"/>
      <c r="C162" s="5"/>
      <c r="D162" s="5"/>
      <c r="E162" s="6"/>
    </row>
    <row r="163" spans="2:5" ht="27.75" customHeight="1" x14ac:dyDescent="0.4">
      <c r="B163" s="4"/>
      <c r="C163" s="5"/>
      <c r="D163" s="5"/>
      <c r="E163" s="6"/>
    </row>
    <row r="164" spans="2:5" ht="27.75" customHeight="1" x14ac:dyDescent="0.4">
      <c r="B164" s="4"/>
      <c r="C164" s="5"/>
      <c r="D164" s="5"/>
      <c r="E164" s="6"/>
    </row>
    <row r="165" spans="2:5" ht="27.75" customHeight="1" x14ac:dyDescent="0.4">
      <c r="B165" s="4"/>
      <c r="C165" s="5"/>
      <c r="D165" s="5"/>
      <c r="E165" s="6"/>
    </row>
    <row r="166" spans="2:5" ht="27.75" customHeight="1" x14ac:dyDescent="0.4">
      <c r="B166" s="4"/>
      <c r="C166" s="5"/>
      <c r="D166" s="5"/>
      <c r="E166" s="6"/>
    </row>
    <row r="167" spans="2:5" ht="27.75" customHeight="1" x14ac:dyDescent="0.4">
      <c r="B167" s="4"/>
      <c r="C167" s="5"/>
      <c r="D167" s="5"/>
      <c r="E167" s="6"/>
    </row>
    <row r="168" spans="2:5" ht="27.75" customHeight="1" x14ac:dyDescent="0.4">
      <c r="B168" s="4"/>
      <c r="C168" s="5"/>
      <c r="D168" s="5"/>
      <c r="E168" s="6"/>
    </row>
    <row r="169" spans="2:5" ht="27.75" customHeight="1" x14ac:dyDescent="0.4">
      <c r="B169" s="4"/>
      <c r="C169" s="5"/>
      <c r="D169" s="5"/>
      <c r="E169" s="6"/>
    </row>
    <row r="170" spans="2:5" ht="27.75" customHeight="1" x14ac:dyDescent="0.4">
      <c r="B170" s="4"/>
      <c r="C170" s="5"/>
      <c r="D170" s="5"/>
      <c r="E170" s="6"/>
    </row>
    <row r="171" spans="2:5" ht="27.75" customHeight="1" x14ac:dyDescent="0.4">
      <c r="B171" s="4"/>
      <c r="C171" s="5"/>
      <c r="D171" s="5"/>
      <c r="E171" s="6"/>
    </row>
    <row r="172" spans="2:5" ht="27.75" customHeight="1" x14ac:dyDescent="0.4">
      <c r="B172" s="4"/>
      <c r="C172" s="5"/>
      <c r="D172" s="5"/>
      <c r="E172" s="6"/>
    </row>
    <row r="173" spans="2:5" ht="27.75" customHeight="1" x14ac:dyDescent="0.4">
      <c r="B173" s="4"/>
      <c r="C173" s="5"/>
      <c r="D173" s="5"/>
      <c r="E173" s="6"/>
    </row>
    <row r="174" spans="2:5" ht="27.75" customHeight="1" x14ac:dyDescent="0.4">
      <c r="B174" s="4"/>
      <c r="C174" s="5"/>
      <c r="D174" s="5"/>
      <c r="E174" s="6"/>
    </row>
    <row r="175" spans="2:5" ht="27.75" customHeight="1" x14ac:dyDescent="0.4">
      <c r="B175" s="4"/>
      <c r="C175" s="5"/>
      <c r="D175" s="5"/>
      <c r="E175" s="6"/>
    </row>
    <row r="176" spans="2:5" ht="27.75" customHeight="1" x14ac:dyDescent="0.4">
      <c r="B176" s="4"/>
      <c r="C176" s="5"/>
      <c r="D176" s="5"/>
      <c r="E176" s="6"/>
    </row>
    <row r="177" spans="2:5" ht="27.75" customHeight="1" x14ac:dyDescent="0.4">
      <c r="B177" s="4"/>
      <c r="C177" s="5"/>
      <c r="D177" s="5"/>
      <c r="E177" s="6"/>
    </row>
    <row r="178" spans="2:5" ht="27.75" customHeight="1" x14ac:dyDescent="0.4">
      <c r="B178" s="4"/>
      <c r="C178" s="5"/>
      <c r="D178" s="5"/>
      <c r="E178" s="6"/>
    </row>
    <row r="179" spans="2:5" ht="27.75" customHeight="1" x14ac:dyDescent="0.4">
      <c r="B179" s="4"/>
      <c r="C179" s="5"/>
      <c r="D179" s="5"/>
      <c r="E179" s="6"/>
    </row>
    <row r="180" spans="2:5" ht="27.75" customHeight="1" x14ac:dyDescent="0.4">
      <c r="B180" s="4"/>
      <c r="C180" s="5"/>
      <c r="D180" s="5"/>
      <c r="E180" s="6"/>
    </row>
    <row r="181" spans="2:5" ht="27.75" customHeight="1" x14ac:dyDescent="0.4">
      <c r="B181" s="4"/>
      <c r="C181" s="5"/>
      <c r="D181" s="5"/>
      <c r="E181" s="6"/>
    </row>
    <row r="182" spans="2:5" ht="27.75" customHeight="1" x14ac:dyDescent="0.4">
      <c r="B182" s="4"/>
      <c r="C182" s="5"/>
      <c r="D182" s="5"/>
      <c r="E182" s="6"/>
    </row>
    <row r="183" spans="2:5" ht="27.75" customHeight="1" x14ac:dyDescent="0.4">
      <c r="B183" s="4"/>
      <c r="C183" s="5"/>
      <c r="D183" s="5"/>
      <c r="E183" s="6"/>
    </row>
    <row r="184" spans="2:5" ht="27.75" customHeight="1" x14ac:dyDescent="0.4">
      <c r="B184" s="4"/>
      <c r="C184" s="5"/>
      <c r="D184" s="5"/>
      <c r="E184" s="6"/>
    </row>
    <row r="185" spans="2:5" ht="27.75" customHeight="1" x14ac:dyDescent="0.4">
      <c r="B185" s="4"/>
      <c r="C185" s="5"/>
      <c r="D185" s="5"/>
      <c r="E185" s="6"/>
    </row>
    <row r="186" spans="2:5" ht="27.75" customHeight="1" x14ac:dyDescent="0.4">
      <c r="B186" s="4"/>
      <c r="C186" s="5"/>
      <c r="D186" s="5"/>
      <c r="E186" s="6"/>
    </row>
    <row r="187" spans="2:5" ht="27.75" customHeight="1" x14ac:dyDescent="0.4">
      <c r="B187" s="4"/>
      <c r="C187" s="5"/>
      <c r="D187" s="5"/>
      <c r="E187" s="6"/>
    </row>
    <row r="188" spans="2:5" ht="27.75" customHeight="1" x14ac:dyDescent="0.4">
      <c r="B188" s="4"/>
      <c r="C188" s="5"/>
      <c r="D188" s="5"/>
      <c r="E188" s="6"/>
    </row>
    <row r="189" spans="2:5" ht="27.75" customHeight="1" x14ac:dyDescent="0.4">
      <c r="B189" s="4"/>
      <c r="C189" s="5"/>
      <c r="D189" s="5"/>
      <c r="E189" s="6"/>
    </row>
    <row r="190" spans="2:5" ht="27.75" customHeight="1" x14ac:dyDescent="0.4">
      <c r="B190" s="4"/>
      <c r="C190" s="5"/>
      <c r="D190" s="5"/>
      <c r="E190" s="6"/>
    </row>
    <row r="191" spans="2:5" ht="27.75" customHeight="1" x14ac:dyDescent="0.4">
      <c r="B191" s="4"/>
      <c r="C191" s="5"/>
      <c r="D191" s="5"/>
      <c r="E191" s="6"/>
    </row>
    <row r="192" spans="2:5" ht="27.75" customHeight="1" x14ac:dyDescent="0.4">
      <c r="B192" s="4"/>
      <c r="C192" s="5"/>
      <c r="D192" s="5"/>
      <c r="E192" s="6"/>
    </row>
    <row r="193" spans="2:5" ht="27.75" customHeight="1" x14ac:dyDescent="0.4">
      <c r="B193" s="4"/>
      <c r="C193" s="5"/>
      <c r="D193" s="5"/>
      <c r="E193" s="6"/>
    </row>
    <row r="194" spans="2:5" ht="27.75" customHeight="1" x14ac:dyDescent="0.4">
      <c r="B194" s="4"/>
      <c r="C194" s="5"/>
      <c r="D194" s="5"/>
      <c r="E194" s="6"/>
    </row>
    <row r="195" spans="2:5" ht="27.75" customHeight="1" x14ac:dyDescent="0.4">
      <c r="B195" s="4"/>
      <c r="C195" s="5"/>
      <c r="D195" s="5"/>
      <c r="E195" s="6"/>
    </row>
    <row r="196" spans="2:5" ht="27.75" customHeight="1" x14ac:dyDescent="0.4">
      <c r="B196" s="4"/>
      <c r="C196" s="5"/>
      <c r="D196" s="5"/>
      <c r="E196" s="6"/>
    </row>
    <row r="197" spans="2:5" ht="27.75" customHeight="1" x14ac:dyDescent="0.4">
      <c r="B197" s="4"/>
      <c r="C197" s="5"/>
      <c r="D197" s="5"/>
      <c r="E197" s="6"/>
    </row>
    <row r="198" spans="2:5" ht="27.75" customHeight="1" x14ac:dyDescent="0.4">
      <c r="B198" s="4"/>
      <c r="C198" s="5"/>
      <c r="D198" s="5"/>
      <c r="E198" s="6"/>
    </row>
    <row r="199" spans="2:5" ht="27.75" customHeight="1" x14ac:dyDescent="0.4">
      <c r="B199" s="4"/>
      <c r="C199" s="5"/>
      <c r="D199" s="5"/>
      <c r="E199" s="6"/>
    </row>
    <row r="200" spans="2:5" ht="27.75" customHeight="1" x14ac:dyDescent="0.4">
      <c r="B200" s="4"/>
      <c r="C200" s="5"/>
      <c r="D200" s="5"/>
      <c r="E200" s="6"/>
    </row>
    <row r="201" spans="2:5" ht="27.75" customHeight="1" x14ac:dyDescent="0.4">
      <c r="B201" s="4"/>
      <c r="C201" s="5"/>
      <c r="D201" s="5"/>
      <c r="E201" s="6"/>
    </row>
    <row r="202" spans="2:5" ht="27.75" customHeight="1" x14ac:dyDescent="0.4">
      <c r="B202" s="4"/>
      <c r="C202" s="5"/>
      <c r="D202" s="5"/>
      <c r="E202" s="6"/>
    </row>
    <row r="203" spans="2:5" ht="27.75" customHeight="1" x14ac:dyDescent="0.4">
      <c r="B203" s="4"/>
      <c r="C203" s="5"/>
      <c r="D203" s="5"/>
      <c r="E203" s="6"/>
    </row>
    <row r="204" spans="2:5" ht="27.75" customHeight="1" x14ac:dyDescent="0.4">
      <c r="B204" s="4"/>
      <c r="C204" s="5"/>
      <c r="D204" s="5"/>
      <c r="E204" s="6"/>
    </row>
    <row r="205" spans="2:5" ht="27.75" customHeight="1" x14ac:dyDescent="0.4">
      <c r="B205" s="4"/>
      <c r="C205" s="5"/>
      <c r="D205" s="5"/>
      <c r="E205" s="6"/>
    </row>
    <row r="206" spans="2:5" ht="27.75" customHeight="1" x14ac:dyDescent="0.4">
      <c r="B206" s="4"/>
      <c r="C206" s="5"/>
      <c r="D206" s="5"/>
      <c r="E206" s="6"/>
    </row>
    <row r="207" spans="2:5" ht="27.75" customHeight="1" x14ac:dyDescent="0.4">
      <c r="B207" s="4"/>
      <c r="C207" s="5"/>
      <c r="D207" s="5"/>
      <c r="E207" s="6"/>
    </row>
    <row r="208" spans="2:5" ht="27.75" customHeight="1" x14ac:dyDescent="0.4">
      <c r="B208" s="4"/>
      <c r="C208" s="5"/>
      <c r="D208" s="5"/>
      <c r="E208" s="6"/>
    </row>
    <row r="209" spans="2:5" ht="27.75" customHeight="1" x14ac:dyDescent="0.4">
      <c r="B209" s="4"/>
      <c r="C209" s="5"/>
      <c r="D209" s="5"/>
      <c r="E209" s="6"/>
    </row>
    <row r="210" spans="2:5" ht="27.75" customHeight="1" x14ac:dyDescent="0.4">
      <c r="B210" s="4"/>
      <c r="C210" s="5"/>
      <c r="D210" s="5"/>
      <c r="E210" s="6"/>
    </row>
    <row r="211" spans="2:5" ht="27.75" customHeight="1" x14ac:dyDescent="0.4">
      <c r="B211" s="4"/>
      <c r="C211" s="5"/>
      <c r="D211" s="5"/>
      <c r="E211" s="6"/>
    </row>
    <row r="212" spans="2:5" ht="27.75" customHeight="1" x14ac:dyDescent="0.4">
      <c r="B212" s="4"/>
      <c r="C212" s="5"/>
      <c r="D212" s="5"/>
      <c r="E212" s="6"/>
    </row>
    <row r="213" spans="2:5" ht="27.75" customHeight="1" x14ac:dyDescent="0.4">
      <c r="B213" s="4"/>
      <c r="C213" s="5"/>
      <c r="D213" s="5"/>
      <c r="E213" s="6"/>
    </row>
    <row r="214" spans="2:5" ht="27.75" customHeight="1" x14ac:dyDescent="0.4">
      <c r="B214" s="4"/>
      <c r="C214" s="5"/>
      <c r="D214" s="5"/>
      <c r="E214" s="6"/>
    </row>
    <row r="215" spans="2:5" ht="27.75" customHeight="1" x14ac:dyDescent="0.4">
      <c r="B215" s="4"/>
      <c r="C215" s="5"/>
      <c r="D215" s="5"/>
      <c r="E215" s="6"/>
    </row>
    <row r="216" spans="2:5" x14ac:dyDescent="0.4">
      <c r="B216" s="4"/>
      <c r="C216" s="5"/>
      <c r="D216" s="5"/>
      <c r="E216" s="6"/>
    </row>
    <row r="217" spans="2:5" x14ac:dyDescent="0.4">
      <c r="B217" s="4"/>
      <c r="C217" s="5"/>
      <c r="D217" s="5"/>
      <c r="E217" s="6"/>
    </row>
    <row r="218" spans="2:5" x14ac:dyDescent="0.4">
      <c r="B218" s="4"/>
      <c r="C218" s="5"/>
      <c r="D218" s="5"/>
      <c r="E218" s="6"/>
    </row>
    <row r="219" spans="2:5" x14ac:dyDescent="0.4">
      <c r="B219" s="4"/>
      <c r="C219" s="5"/>
      <c r="D219" s="5"/>
      <c r="E219" s="6"/>
    </row>
    <row r="220" spans="2:5" x14ac:dyDescent="0.4">
      <c r="B220" s="4"/>
      <c r="C220" s="5"/>
      <c r="D220" s="5"/>
      <c r="E220" s="6"/>
    </row>
    <row r="221" spans="2:5" x14ac:dyDescent="0.4">
      <c r="B221" s="7"/>
      <c r="C221" s="8"/>
      <c r="D221" s="8"/>
      <c r="E221" s="9"/>
    </row>
  </sheetData>
  <sortState xmlns:xlrd2="http://schemas.microsoft.com/office/spreadsheetml/2017/richdata2" ref="A76:V88">
    <sortCondition ref="C76:C88"/>
  </sortState>
  <mergeCells count="6">
    <mergeCell ref="U1:V1"/>
    <mergeCell ref="K1:L1"/>
    <mergeCell ref="M1:N1"/>
    <mergeCell ref="O1:P1"/>
    <mergeCell ref="Q1:R1"/>
    <mergeCell ref="S1:T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218E-CE78-4CC7-B1BD-A64F6BB9C935}">
  <dimension ref="A1:L294"/>
  <sheetViews>
    <sheetView zoomScale="85" zoomScaleNormal="85" workbookViewId="0">
      <pane ySplit="1" topLeftCell="A56" activePane="bottomLeft" state="frozen"/>
      <selection pane="bottomLeft" activeCell="J83" sqref="J83"/>
    </sheetView>
  </sheetViews>
  <sheetFormatPr defaultRowHeight="18.75" x14ac:dyDescent="0.4"/>
  <cols>
    <col min="1" max="1" width="24.25" customWidth="1"/>
    <col min="2" max="2" width="23.375" customWidth="1"/>
    <col min="3" max="3" width="44" customWidth="1"/>
    <col min="4" max="4" width="12.25" customWidth="1"/>
    <col min="5" max="5" width="11.125" customWidth="1"/>
    <col min="6" max="6" width="11.625" customWidth="1"/>
    <col min="7" max="7" width="8.125" customWidth="1"/>
    <col min="8" max="8" width="14.625" customWidth="1"/>
    <col min="9" max="9" width="2.625" customWidth="1"/>
    <col min="10" max="10" width="14.375" customWidth="1"/>
    <col min="11" max="11" width="19" customWidth="1"/>
    <col min="12" max="12" width="23.375" customWidth="1"/>
  </cols>
  <sheetData>
    <row r="1" spans="1:11" ht="27.75" customHeight="1" x14ac:dyDescent="0.4">
      <c r="A1" s="12" t="s">
        <v>41</v>
      </c>
      <c r="B1" s="13" t="s">
        <v>56</v>
      </c>
      <c r="C1" s="1" t="s">
        <v>0</v>
      </c>
      <c r="D1" s="2" t="s">
        <v>1</v>
      </c>
      <c r="E1" s="2" t="s">
        <v>2</v>
      </c>
      <c r="F1" s="3" t="s">
        <v>3</v>
      </c>
      <c r="H1" t="s">
        <v>171</v>
      </c>
      <c r="J1" t="s">
        <v>172</v>
      </c>
      <c r="K1" t="s">
        <v>173</v>
      </c>
    </row>
    <row r="2" spans="1:11" ht="27.75" customHeight="1" x14ac:dyDescent="0.4">
      <c r="A2" s="12" t="s">
        <v>52</v>
      </c>
      <c r="B2" s="12" t="s">
        <v>58</v>
      </c>
      <c r="C2" s="4" t="s">
        <v>28</v>
      </c>
      <c r="D2" s="11">
        <v>45809</v>
      </c>
      <c r="E2" s="5" t="s">
        <v>31</v>
      </c>
      <c r="F2" s="10">
        <v>45930</v>
      </c>
    </row>
    <row r="3" spans="1:11" ht="27.75" customHeight="1" x14ac:dyDescent="0.4">
      <c r="A3" s="12" t="s">
        <v>47</v>
      </c>
      <c r="B3" s="12"/>
      <c r="C3" s="4" t="s">
        <v>16</v>
      </c>
      <c r="D3" s="11">
        <v>45839</v>
      </c>
      <c r="E3" s="5" t="s">
        <v>17</v>
      </c>
      <c r="F3" s="10">
        <v>45889</v>
      </c>
    </row>
    <row r="4" spans="1:11" ht="27.75" customHeight="1" x14ac:dyDescent="0.4">
      <c r="A4" s="12" t="s">
        <v>42</v>
      </c>
      <c r="B4" s="12"/>
      <c r="C4" s="4" t="s">
        <v>4</v>
      </c>
      <c r="D4" s="11">
        <v>45853</v>
      </c>
      <c r="E4" s="5" t="s">
        <v>5</v>
      </c>
      <c r="F4" s="10">
        <v>45868</v>
      </c>
    </row>
    <row r="5" spans="1:11" ht="27.75" customHeight="1" x14ac:dyDescent="0.4">
      <c r="A5" s="12" t="s">
        <v>43</v>
      </c>
      <c r="B5" s="12"/>
      <c r="C5" s="4" t="s">
        <v>6</v>
      </c>
      <c r="D5" s="11">
        <v>45853</v>
      </c>
      <c r="E5" s="5" t="s">
        <v>5</v>
      </c>
      <c r="F5" s="10">
        <v>45868</v>
      </c>
    </row>
    <row r="6" spans="1:11" ht="27.75" customHeight="1" x14ac:dyDescent="0.4">
      <c r="A6" s="12" t="s">
        <v>44</v>
      </c>
      <c r="B6" s="12"/>
      <c r="C6" s="4" t="s">
        <v>7</v>
      </c>
      <c r="D6" s="11">
        <v>45853</v>
      </c>
      <c r="E6" s="5" t="s">
        <v>5</v>
      </c>
      <c r="F6" s="10">
        <v>45868</v>
      </c>
    </row>
    <row r="7" spans="1:11" ht="27.75" customHeight="1" x14ac:dyDescent="0.4">
      <c r="A7" s="12" t="s">
        <v>45</v>
      </c>
      <c r="B7" s="12"/>
      <c r="C7" s="4" t="s">
        <v>8</v>
      </c>
      <c r="D7" s="11">
        <v>45853</v>
      </c>
      <c r="E7" s="5" t="s">
        <v>5</v>
      </c>
      <c r="F7" s="10">
        <v>45868</v>
      </c>
    </row>
    <row r="8" spans="1:11" ht="27.75" customHeight="1" x14ac:dyDescent="0.4">
      <c r="A8" s="12"/>
      <c r="B8" s="12"/>
      <c r="C8" s="4" t="s">
        <v>9</v>
      </c>
      <c r="D8" s="11">
        <v>45853</v>
      </c>
      <c r="E8" s="5" t="s">
        <v>5</v>
      </c>
      <c r="F8" s="10">
        <v>45868</v>
      </c>
    </row>
    <row r="9" spans="1:11" ht="27.75" customHeight="1" x14ac:dyDescent="0.4">
      <c r="A9" s="12"/>
      <c r="B9" s="12"/>
      <c r="C9" s="4" t="s">
        <v>10</v>
      </c>
      <c r="D9" s="11">
        <v>45853</v>
      </c>
      <c r="E9" s="5" t="s">
        <v>5</v>
      </c>
      <c r="F9" s="10">
        <v>45868</v>
      </c>
    </row>
    <row r="10" spans="1:11" ht="27.75" customHeight="1" x14ac:dyDescent="0.4">
      <c r="A10" s="12"/>
      <c r="B10" s="12"/>
      <c r="C10" s="4" t="s">
        <v>11</v>
      </c>
      <c r="D10" s="11">
        <v>45853</v>
      </c>
      <c r="E10" s="5" t="s">
        <v>5</v>
      </c>
      <c r="F10" s="10">
        <v>45868</v>
      </c>
    </row>
    <row r="11" spans="1:11" ht="27.75" customHeight="1" x14ac:dyDescent="0.4">
      <c r="A11" s="12"/>
      <c r="B11" s="12"/>
      <c r="C11" s="4" t="s">
        <v>12</v>
      </c>
      <c r="D11" s="11">
        <v>45853</v>
      </c>
      <c r="E11" s="5" t="s">
        <v>5</v>
      </c>
      <c r="F11" s="10">
        <v>45868</v>
      </c>
    </row>
    <row r="12" spans="1:11" ht="27.75" customHeight="1" x14ac:dyDescent="0.4">
      <c r="A12" s="12" t="s">
        <v>46</v>
      </c>
      <c r="B12" s="12"/>
      <c r="C12" s="4" t="s">
        <v>13</v>
      </c>
      <c r="D12" s="11">
        <v>45853</v>
      </c>
      <c r="E12" s="5" t="s">
        <v>5</v>
      </c>
      <c r="F12" s="10">
        <v>45868</v>
      </c>
    </row>
    <row r="13" spans="1:11" ht="27.75" customHeight="1" x14ac:dyDescent="0.4">
      <c r="A13" s="12" t="s">
        <v>46</v>
      </c>
      <c r="B13" s="12"/>
      <c r="C13" s="4" t="s">
        <v>14</v>
      </c>
      <c r="D13" s="11">
        <v>45853</v>
      </c>
      <c r="E13" s="5" t="s">
        <v>5</v>
      </c>
      <c r="F13" s="10">
        <v>45868</v>
      </c>
    </row>
    <row r="14" spans="1:11" ht="27.75" customHeight="1" x14ac:dyDescent="0.4">
      <c r="A14" s="12" t="s">
        <v>46</v>
      </c>
      <c r="B14" s="12"/>
      <c r="C14" s="4" t="s">
        <v>15</v>
      </c>
      <c r="D14" s="11">
        <v>45853</v>
      </c>
      <c r="E14" s="5" t="s">
        <v>5</v>
      </c>
      <c r="F14" s="10">
        <v>45868</v>
      </c>
    </row>
    <row r="15" spans="1:11" ht="27.75" customHeight="1" x14ac:dyDescent="0.4">
      <c r="A15" s="12"/>
      <c r="B15" s="12"/>
      <c r="C15" s="4" t="s">
        <v>18</v>
      </c>
      <c r="D15" s="11">
        <v>45870</v>
      </c>
      <c r="E15" s="5" t="s">
        <v>20</v>
      </c>
      <c r="F15" s="10">
        <v>45889</v>
      </c>
    </row>
    <row r="16" spans="1:11" ht="27.75" customHeight="1" x14ac:dyDescent="0.4">
      <c r="A16" s="12" t="s">
        <v>42</v>
      </c>
      <c r="B16" s="12"/>
      <c r="C16" s="4" t="s">
        <v>19</v>
      </c>
      <c r="D16" s="11">
        <v>45870</v>
      </c>
      <c r="E16" s="5" t="s">
        <v>20</v>
      </c>
      <c r="F16" s="10">
        <v>45889</v>
      </c>
    </row>
    <row r="17" spans="1:6" ht="27.75" customHeight="1" x14ac:dyDescent="0.4">
      <c r="A17" s="12" t="s">
        <v>48</v>
      </c>
      <c r="B17" s="12"/>
      <c r="C17" s="4" t="s">
        <v>21</v>
      </c>
      <c r="D17" s="11">
        <v>45870</v>
      </c>
      <c r="E17" s="5" t="s">
        <v>20</v>
      </c>
      <c r="F17" s="10">
        <v>45899</v>
      </c>
    </row>
    <row r="18" spans="1:6" ht="27.75" customHeight="1" x14ac:dyDescent="0.4">
      <c r="A18" s="12"/>
      <c r="B18" s="12"/>
      <c r="C18" s="4" t="s">
        <v>22</v>
      </c>
      <c r="D18" s="11">
        <v>45870</v>
      </c>
      <c r="E18" s="5" t="s">
        <v>20</v>
      </c>
      <c r="F18" s="10">
        <v>45899</v>
      </c>
    </row>
    <row r="19" spans="1:6" ht="27.75" customHeight="1" x14ac:dyDescent="0.4">
      <c r="A19" s="12"/>
      <c r="B19" s="12"/>
      <c r="C19" s="4" t="s">
        <v>23</v>
      </c>
      <c r="D19" s="11">
        <v>45870</v>
      </c>
      <c r="E19" s="5" t="s">
        <v>20</v>
      </c>
      <c r="F19" s="10">
        <v>45899</v>
      </c>
    </row>
    <row r="20" spans="1:6" ht="27.75" customHeight="1" x14ac:dyDescent="0.4">
      <c r="A20" s="12" t="s">
        <v>49</v>
      </c>
      <c r="B20" s="12"/>
      <c r="C20" s="4" t="s">
        <v>24</v>
      </c>
      <c r="D20" s="11">
        <v>45870</v>
      </c>
      <c r="E20" s="5" t="s">
        <v>20</v>
      </c>
      <c r="F20" s="10">
        <v>45899</v>
      </c>
    </row>
    <row r="21" spans="1:6" ht="27.75" customHeight="1" x14ac:dyDescent="0.4">
      <c r="A21" s="12" t="s">
        <v>49</v>
      </c>
      <c r="B21" s="12"/>
      <c r="C21" s="4" t="s">
        <v>25</v>
      </c>
      <c r="D21" s="11">
        <v>45870</v>
      </c>
      <c r="E21" s="5" t="s">
        <v>20</v>
      </c>
      <c r="F21" s="10">
        <v>45899</v>
      </c>
    </row>
    <row r="22" spans="1:6" ht="27.75" customHeight="1" x14ac:dyDescent="0.4">
      <c r="A22" s="12" t="s">
        <v>50</v>
      </c>
      <c r="B22" s="12" t="s">
        <v>53</v>
      </c>
      <c r="C22" s="4" t="s">
        <v>26</v>
      </c>
      <c r="D22" s="11">
        <v>45870</v>
      </c>
      <c r="E22" s="5" t="s">
        <v>20</v>
      </c>
      <c r="F22" s="10">
        <v>45899</v>
      </c>
    </row>
    <row r="23" spans="1:6" ht="27.75" customHeight="1" x14ac:dyDescent="0.4">
      <c r="A23" s="12" t="s">
        <v>51</v>
      </c>
      <c r="B23" s="12" t="s">
        <v>57</v>
      </c>
      <c r="C23" s="4" t="s">
        <v>27</v>
      </c>
      <c r="D23" s="11">
        <v>45870</v>
      </c>
      <c r="E23" s="5" t="s">
        <v>20</v>
      </c>
      <c r="F23" s="10">
        <v>45899</v>
      </c>
    </row>
    <row r="24" spans="1:6" ht="27.75" customHeight="1" x14ac:dyDescent="0.4">
      <c r="A24" s="12" t="s">
        <v>53</v>
      </c>
      <c r="B24" s="12" t="s">
        <v>59</v>
      </c>
      <c r="C24" s="4" t="s">
        <v>29</v>
      </c>
      <c r="D24" s="11">
        <v>45870</v>
      </c>
      <c r="E24" s="5" t="s">
        <v>20</v>
      </c>
      <c r="F24" s="10">
        <v>45899</v>
      </c>
    </row>
    <row r="25" spans="1:6" ht="27.75" customHeight="1" x14ac:dyDescent="0.4">
      <c r="A25" s="12" t="s">
        <v>54</v>
      </c>
      <c r="B25" s="12" t="s">
        <v>60</v>
      </c>
      <c r="C25" s="4" t="s">
        <v>30</v>
      </c>
      <c r="D25" s="11">
        <v>45870</v>
      </c>
      <c r="E25" s="5" t="s">
        <v>20</v>
      </c>
      <c r="F25" s="10">
        <v>45899</v>
      </c>
    </row>
    <row r="26" spans="1:6" ht="27.75" customHeight="1" x14ac:dyDescent="0.4">
      <c r="A26" s="12" t="s">
        <v>48</v>
      </c>
      <c r="B26" s="12" t="s">
        <v>70</v>
      </c>
      <c r="C26" s="4" t="s">
        <v>69</v>
      </c>
      <c r="D26" s="11">
        <v>45895</v>
      </c>
      <c r="E26" s="5" t="s">
        <v>71</v>
      </c>
      <c r="F26" s="10">
        <v>45960</v>
      </c>
    </row>
    <row r="27" spans="1:6" ht="27.75" customHeight="1" x14ac:dyDescent="0.4">
      <c r="A27" s="12" t="s">
        <v>54</v>
      </c>
      <c r="B27" s="12" t="s">
        <v>61</v>
      </c>
      <c r="C27" s="4" t="s">
        <v>32</v>
      </c>
      <c r="D27" s="11">
        <v>45902</v>
      </c>
      <c r="E27" s="5" t="s">
        <v>33</v>
      </c>
      <c r="F27" s="10">
        <v>45930</v>
      </c>
    </row>
    <row r="28" spans="1:6" ht="27.75" customHeight="1" x14ac:dyDescent="0.4">
      <c r="A28" s="12" t="s">
        <v>46</v>
      </c>
      <c r="B28" s="12" t="s">
        <v>95</v>
      </c>
      <c r="C28" s="4" t="s">
        <v>34</v>
      </c>
      <c r="D28" s="11">
        <v>45904</v>
      </c>
      <c r="E28" s="5" t="s">
        <v>35</v>
      </c>
      <c r="F28" s="10">
        <v>45919</v>
      </c>
    </row>
    <row r="29" spans="1:6" ht="27.75" customHeight="1" x14ac:dyDescent="0.4">
      <c r="A29" s="12" t="s">
        <v>46</v>
      </c>
      <c r="B29" s="12" t="s">
        <v>62</v>
      </c>
      <c r="C29" s="4" t="s">
        <v>36</v>
      </c>
      <c r="D29" s="11">
        <v>45905</v>
      </c>
      <c r="E29" s="5" t="s">
        <v>37</v>
      </c>
      <c r="F29" s="10">
        <v>45910</v>
      </c>
    </row>
    <row r="30" spans="1:6" ht="27.75" customHeight="1" x14ac:dyDescent="0.4">
      <c r="A30" s="12" t="s">
        <v>55</v>
      </c>
      <c r="B30" s="12" t="s">
        <v>60</v>
      </c>
      <c r="C30" s="12" t="s">
        <v>39</v>
      </c>
      <c r="D30" s="11">
        <v>45906</v>
      </c>
      <c r="E30" s="5" t="s">
        <v>40</v>
      </c>
      <c r="F30" s="10">
        <v>45913</v>
      </c>
    </row>
    <row r="31" spans="1:6" ht="27.75" customHeight="1" x14ac:dyDescent="0.4">
      <c r="A31" s="12" t="s">
        <v>48</v>
      </c>
      <c r="B31" s="12" t="s">
        <v>57</v>
      </c>
      <c r="C31" s="4" t="s">
        <v>67</v>
      </c>
      <c r="D31" s="11">
        <v>45908</v>
      </c>
      <c r="E31" s="5" t="s">
        <v>68</v>
      </c>
      <c r="F31" s="10">
        <v>45911</v>
      </c>
    </row>
    <row r="32" spans="1:6" ht="27.75" customHeight="1" x14ac:dyDescent="0.4">
      <c r="A32" s="19" t="s">
        <v>103</v>
      </c>
      <c r="B32" s="19" t="s">
        <v>102</v>
      </c>
      <c r="C32" s="4" t="s">
        <v>72</v>
      </c>
      <c r="D32" s="11">
        <v>45908</v>
      </c>
      <c r="E32" s="5" t="s">
        <v>37</v>
      </c>
      <c r="F32" s="10">
        <v>45913</v>
      </c>
    </row>
    <row r="33" spans="1:10" ht="27.75" customHeight="1" x14ac:dyDescent="0.4">
      <c r="A33" s="12" t="s">
        <v>55</v>
      </c>
      <c r="B33" s="12" t="s">
        <v>60</v>
      </c>
      <c r="C33" s="12" t="s">
        <v>38</v>
      </c>
      <c r="D33" s="11">
        <v>45912</v>
      </c>
      <c r="E33" s="5" t="s">
        <v>35</v>
      </c>
      <c r="F33" s="10">
        <v>45927</v>
      </c>
    </row>
    <row r="34" spans="1:10" ht="27.75" customHeight="1" x14ac:dyDescent="0.4">
      <c r="A34" s="12" t="s">
        <v>46</v>
      </c>
      <c r="B34" s="12" t="s">
        <v>62</v>
      </c>
      <c r="C34" s="12" t="s">
        <v>83</v>
      </c>
      <c r="D34" s="11">
        <v>45918</v>
      </c>
      <c r="E34" s="5" t="s">
        <v>84</v>
      </c>
      <c r="F34" s="10">
        <v>45948</v>
      </c>
      <c r="J34" s="29"/>
    </row>
    <row r="35" spans="1:10" ht="27.75" customHeight="1" x14ac:dyDescent="0.4">
      <c r="A35" s="12" t="s">
        <v>45</v>
      </c>
      <c r="B35" s="12" t="s">
        <v>86</v>
      </c>
      <c r="C35" s="4" t="s">
        <v>85</v>
      </c>
      <c r="D35" s="11">
        <v>45918</v>
      </c>
      <c r="E35" s="5" t="s">
        <v>82</v>
      </c>
      <c r="F35" s="10">
        <v>45928</v>
      </c>
      <c r="J35" s="29"/>
    </row>
    <row r="36" spans="1:10" ht="27.75" customHeight="1" x14ac:dyDescent="0.4">
      <c r="A36" s="22" t="s">
        <v>48</v>
      </c>
      <c r="B36" s="12" t="s">
        <v>60</v>
      </c>
      <c r="C36" s="23" t="s">
        <v>96</v>
      </c>
      <c r="D36" s="16">
        <v>45919</v>
      </c>
      <c r="E36" s="5" t="s">
        <v>97</v>
      </c>
      <c r="F36" s="24">
        <v>45922</v>
      </c>
      <c r="G36" t="s">
        <v>118</v>
      </c>
      <c r="J36" s="29"/>
    </row>
    <row r="37" spans="1:10" ht="27.75" customHeight="1" x14ac:dyDescent="0.4">
      <c r="A37" s="12" t="s">
        <v>45</v>
      </c>
      <c r="B37" s="12" t="s">
        <v>74</v>
      </c>
      <c r="C37" s="4" t="s">
        <v>73</v>
      </c>
      <c r="D37" s="11">
        <v>45922</v>
      </c>
      <c r="E37" s="5" t="s">
        <v>31</v>
      </c>
      <c r="F37" s="10">
        <v>46006</v>
      </c>
      <c r="J37" s="29"/>
    </row>
    <row r="38" spans="1:10" ht="27.75" customHeight="1" x14ac:dyDescent="0.4">
      <c r="A38" s="12" t="s">
        <v>80</v>
      </c>
      <c r="B38" s="12" t="s">
        <v>59</v>
      </c>
      <c r="C38" s="12" t="s">
        <v>81</v>
      </c>
      <c r="D38" s="16">
        <v>45922</v>
      </c>
      <c r="E38" s="5" t="s">
        <v>82</v>
      </c>
      <c r="F38" s="24">
        <v>45927</v>
      </c>
      <c r="G38" t="s">
        <v>118</v>
      </c>
      <c r="J38" s="29"/>
    </row>
    <row r="39" spans="1:10" ht="27.75" customHeight="1" x14ac:dyDescent="0.4">
      <c r="A39" s="12" t="s">
        <v>53</v>
      </c>
      <c r="B39" s="12" t="s">
        <v>62</v>
      </c>
      <c r="C39" s="4" t="s">
        <v>90</v>
      </c>
      <c r="D39" s="11">
        <v>45923</v>
      </c>
      <c r="E39" s="5" t="s">
        <v>84</v>
      </c>
      <c r="F39" s="10">
        <v>45953</v>
      </c>
      <c r="J39" s="29"/>
    </row>
    <row r="40" spans="1:10" ht="27.75" customHeight="1" x14ac:dyDescent="0.4">
      <c r="A40" s="12" t="s">
        <v>108</v>
      </c>
      <c r="B40" s="12" t="s">
        <v>109</v>
      </c>
      <c r="C40" s="4" t="s">
        <v>110</v>
      </c>
      <c r="D40" s="11">
        <v>45923</v>
      </c>
      <c r="E40" s="5" t="s">
        <v>111</v>
      </c>
      <c r="F40" s="10">
        <v>45930</v>
      </c>
      <c r="J40" s="29"/>
    </row>
    <row r="41" spans="1:10" ht="27.75" customHeight="1" x14ac:dyDescent="0.4">
      <c r="A41" s="22" t="s">
        <v>106</v>
      </c>
      <c r="B41" s="12" t="s">
        <v>60</v>
      </c>
      <c r="C41" s="4" t="s">
        <v>105</v>
      </c>
      <c r="D41" s="16">
        <v>45924</v>
      </c>
      <c r="E41" s="5" t="s">
        <v>40</v>
      </c>
      <c r="F41" s="24">
        <v>45930</v>
      </c>
      <c r="G41" t="s">
        <v>118</v>
      </c>
      <c r="J41" s="29"/>
    </row>
    <row r="42" spans="1:10" ht="27.75" customHeight="1" x14ac:dyDescent="0.4">
      <c r="A42" s="12" t="s">
        <v>87</v>
      </c>
      <c r="B42" s="12" t="s">
        <v>88</v>
      </c>
      <c r="C42" s="4" t="s">
        <v>89</v>
      </c>
      <c r="D42" s="11">
        <v>45925</v>
      </c>
      <c r="E42" s="5" t="s">
        <v>84</v>
      </c>
      <c r="F42" s="10">
        <v>45955</v>
      </c>
      <c r="J42" s="29"/>
    </row>
    <row r="43" spans="1:10" ht="27.75" customHeight="1" x14ac:dyDescent="0.4">
      <c r="A43" s="12" t="s">
        <v>98</v>
      </c>
      <c r="B43" s="12" t="s">
        <v>99</v>
      </c>
      <c r="C43" s="23" t="s">
        <v>107</v>
      </c>
      <c r="D43" s="16">
        <v>45925</v>
      </c>
      <c r="E43" s="5" t="s">
        <v>97</v>
      </c>
      <c r="F43" s="24">
        <v>45928</v>
      </c>
      <c r="G43" t="s">
        <v>118</v>
      </c>
      <c r="J43" s="29"/>
    </row>
    <row r="44" spans="1:10" ht="27.75" customHeight="1" x14ac:dyDescent="0.4">
      <c r="A44" s="12" t="s">
        <v>87</v>
      </c>
      <c r="B44" s="19" t="s">
        <v>104</v>
      </c>
      <c r="C44" s="4" t="s">
        <v>100</v>
      </c>
      <c r="D44" s="16">
        <v>45926</v>
      </c>
      <c r="E44" s="5" t="s">
        <v>101</v>
      </c>
      <c r="F44" s="24">
        <v>45930</v>
      </c>
      <c r="G44" t="s">
        <v>118</v>
      </c>
      <c r="J44" s="29"/>
    </row>
    <row r="45" spans="1:10" ht="27.75" customHeight="1" x14ac:dyDescent="0.4">
      <c r="A45" s="22" t="s">
        <v>48</v>
      </c>
      <c r="B45" s="12" t="s">
        <v>109</v>
      </c>
      <c r="C45" s="4" t="s">
        <v>112</v>
      </c>
      <c r="D45" s="11">
        <v>45929</v>
      </c>
      <c r="E45" s="5" t="s">
        <v>40</v>
      </c>
      <c r="F45" s="10">
        <v>45935</v>
      </c>
      <c r="H45" s="29"/>
      <c r="J45" s="29"/>
    </row>
    <row r="46" spans="1:10" ht="27.75" customHeight="1" x14ac:dyDescent="0.4">
      <c r="A46" s="12" t="s">
        <v>114</v>
      </c>
      <c r="B46" s="12" t="s">
        <v>57</v>
      </c>
      <c r="C46" s="4" t="s">
        <v>113</v>
      </c>
      <c r="D46" s="11">
        <v>45929</v>
      </c>
      <c r="E46" s="5" t="s">
        <v>115</v>
      </c>
      <c r="F46" s="10">
        <v>45991</v>
      </c>
      <c r="H46" s="29"/>
      <c r="J46" s="29"/>
    </row>
    <row r="47" spans="1:10" ht="27.75" customHeight="1" x14ac:dyDescent="0.4">
      <c r="A47" s="12" t="s">
        <v>119</v>
      </c>
      <c r="B47" s="22" t="s">
        <v>60</v>
      </c>
      <c r="C47" s="4" t="s">
        <v>120</v>
      </c>
      <c r="D47" s="11">
        <v>45936</v>
      </c>
      <c r="E47" s="5" t="s">
        <v>82</v>
      </c>
      <c r="F47" s="10">
        <v>45946</v>
      </c>
      <c r="H47" s="29"/>
      <c r="J47" s="29"/>
    </row>
    <row r="48" spans="1:10" ht="27.75" customHeight="1" x14ac:dyDescent="0.4">
      <c r="A48" s="12" t="s">
        <v>114</v>
      </c>
      <c r="B48" s="25" t="s">
        <v>121</v>
      </c>
      <c r="C48" s="12" t="s">
        <v>122</v>
      </c>
      <c r="D48" s="11">
        <v>45937</v>
      </c>
      <c r="E48" s="5" t="s">
        <v>20</v>
      </c>
      <c r="F48" s="10">
        <v>45957</v>
      </c>
      <c r="H48" s="29"/>
      <c r="J48" s="29"/>
    </row>
    <row r="49" spans="1:12" ht="27.75" customHeight="1" x14ac:dyDescent="0.4">
      <c r="A49" s="12" t="s">
        <v>49</v>
      </c>
      <c r="B49" s="12" t="s">
        <v>117</v>
      </c>
      <c r="C49" s="4" t="s">
        <v>116</v>
      </c>
      <c r="D49" s="11">
        <v>45938</v>
      </c>
      <c r="E49" s="5" t="s">
        <v>20</v>
      </c>
      <c r="F49" s="10">
        <v>45958</v>
      </c>
      <c r="H49" s="29"/>
      <c r="J49" s="29"/>
    </row>
    <row r="50" spans="1:12" ht="27.75" customHeight="1" x14ac:dyDescent="0.4">
      <c r="A50" s="12" t="s">
        <v>46</v>
      </c>
      <c r="B50" s="12" t="s">
        <v>127</v>
      </c>
      <c r="C50" s="4" t="s">
        <v>128</v>
      </c>
      <c r="D50" s="11">
        <v>45938</v>
      </c>
      <c r="E50" s="5" t="s">
        <v>129</v>
      </c>
      <c r="F50" s="10">
        <v>45961</v>
      </c>
      <c r="H50" s="29"/>
      <c r="J50" s="29"/>
    </row>
    <row r="51" spans="1:12" ht="27.75" customHeight="1" x14ac:dyDescent="0.4">
      <c r="A51" s="14" t="s">
        <v>63</v>
      </c>
      <c r="B51" s="14" t="s">
        <v>64</v>
      </c>
      <c r="C51" s="15" t="s">
        <v>65</v>
      </c>
      <c r="D51" s="16">
        <v>45946</v>
      </c>
      <c r="E51" s="17" t="s">
        <v>66</v>
      </c>
      <c r="F51" s="18"/>
      <c r="H51" s="29"/>
      <c r="J51" s="29"/>
    </row>
    <row r="52" spans="1:12" ht="27.75" customHeight="1" x14ac:dyDescent="0.4">
      <c r="A52" s="12" t="s">
        <v>78</v>
      </c>
      <c r="B52" s="12" t="s">
        <v>99</v>
      </c>
      <c r="C52" s="4" t="s">
        <v>79</v>
      </c>
      <c r="D52" s="11">
        <v>45947</v>
      </c>
      <c r="E52" s="5" t="s">
        <v>68</v>
      </c>
      <c r="F52" s="10">
        <v>45950</v>
      </c>
      <c r="H52" s="29"/>
      <c r="J52" s="29"/>
    </row>
    <row r="53" spans="1:12" ht="27.75" customHeight="1" x14ac:dyDescent="0.4">
      <c r="A53" s="12" t="s">
        <v>76</v>
      </c>
      <c r="B53" s="20" t="s">
        <v>77</v>
      </c>
      <c r="C53" s="4" t="s">
        <v>75</v>
      </c>
      <c r="D53" s="11">
        <v>45950</v>
      </c>
      <c r="E53" s="5" t="s">
        <v>40</v>
      </c>
      <c r="F53" s="10">
        <v>45957</v>
      </c>
      <c r="H53" s="29"/>
      <c r="J53" s="29"/>
    </row>
    <row r="54" spans="1:12" ht="27.75" customHeight="1" x14ac:dyDescent="0.4">
      <c r="A54" s="12" t="s">
        <v>98</v>
      </c>
      <c r="B54" s="12" t="s">
        <v>59</v>
      </c>
      <c r="C54" s="4" t="s">
        <v>123</v>
      </c>
      <c r="D54" s="11">
        <v>45950</v>
      </c>
      <c r="E54" s="5" t="s">
        <v>20</v>
      </c>
      <c r="F54" s="10">
        <v>45971</v>
      </c>
      <c r="H54" s="29"/>
      <c r="J54" s="29"/>
    </row>
    <row r="55" spans="1:12" ht="27.75" customHeight="1" x14ac:dyDescent="0.4">
      <c r="A55" s="12" t="s">
        <v>99</v>
      </c>
      <c r="B55" s="12" t="s">
        <v>139</v>
      </c>
      <c r="C55" s="4" t="s">
        <v>126</v>
      </c>
      <c r="D55" s="11">
        <v>45950</v>
      </c>
      <c r="E55" s="5" t="s">
        <v>92</v>
      </c>
      <c r="F55" s="10">
        <v>45955</v>
      </c>
      <c r="H55" s="29"/>
      <c r="J55" s="29"/>
    </row>
    <row r="56" spans="1:12" ht="27.75" customHeight="1" x14ac:dyDescent="0.4">
      <c r="A56" s="12" t="s">
        <v>134</v>
      </c>
      <c r="B56" s="12" t="s">
        <v>135</v>
      </c>
      <c r="C56" s="12" t="s">
        <v>136</v>
      </c>
      <c r="D56" s="11">
        <v>45950</v>
      </c>
      <c r="E56" s="5" t="s">
        <v>137</v>
      </c>
      <c r="F56" s="10">
        <v>45952</v>
      </c>
      <c r="H56" s="29"/>
      <c r="J56" s="29"/>
    </row>
    <row r="57" spans="1:12" ht="27.75" customHeight="1" x14ac:dyDescent="0.4">
      <c r="A57" s="12" t="s">
        <v>48</v>
      </c>
      <c r="B57" s="12" t="s">
        <v>124</v>
      </c>
      <c r="C57" s="4" t="s">
        <v>125</v>
      </c>
      <c r="D57" s="11">
        <v>45952</v>
      </c>
      <c r="E57" s="5" t="s">
        <v>84</v>
      </c>
      <c r="F57" s="10">
        <v>45981</v>
      </c>
      <c r="H57" s="29"/>
      <c r="J57" s="29"/>
    </row>
    <row r="58" spans="1:12" ht="27.75" customHeight="1" x14ac:dyDescent="0.4">
      <c r="A58" s="12" t="s">
        <v>48</v>
      </c>
      <c r="B58" s="12" t="s">
        <v>139</v>
      </c>
      <c r="C58" s="4" t="s">
        <v>132</v>
      </c>
      <c r="D58" s="11">
        <v>45954</v>
      </c>
      <c r="E58" s="5" t="s">
        <v>92</v>
      </c>
      <c r="F58" s="10">
        <v>45959</v>
      </c>
      <c r="H58" s="29"/>
      <c r="J58" s="29"/>
    </row>
    <row r="59" spans="1:12" ht="27.75" customHeight="1" x14ac:dyDescent="0.4">
      <c r="A59" s="12" t="s">
        <v>133</v>
      </c>
      <c r="B59" s="12" t="s">
        <v>60</v>
      </c>
      <c r="C59" s="4" t="s">
        <v>79</v>
      </c>
      <c r="D59" s="11">
        <v>45955</v>
      </c>
      <c r="E59" s="5" t="s">
        <v>92</v>
      </c>
      <c r="F59" s="10">
        <v>45960</v>
      </c>
      <c r="H59" s="29"/>
      <c r="J59" s="29"/>
      <c r="K59" t="s">
        <v>201</v>
      </c>
      <c r="L59" t="s">
        <v>202</v>
      </c>
    </row>
    <row r="60" spans="1:12" ht="27.75" customHeight="1" x14ac:dyDescent="0.4">
      <c r="A60" s="12" t="s">
        <v>131</v>
      </c>
      <c r="B60" s="22" t="s">
        <v>60</v>
      </c>
      <c r="C60" s="4" t="s">
        <v>130</v>
      </c>
      <c r="D60" s="11">
        <v>45957</v>
      </c>
      <c r="E60" s="5" t="s">
        <v>115</v>
      </c>
      <c r="F60" s="10">
        <v>46017</v>
      </c>
      <c r="H60" s="29"/>
      <c r="J60" s="29"/>
    </row>
    <row r="61" spans="1:12" ht="27.75" customHeight="1" x14ac:dyDescent="0.4">
      <c r="A61" s="12" t="s">
        <v>146</v>
      </c>
      <c r="B61" s="12" t="s">
        <v>145</v>
      </c>
      <c r="C61" s="4" t="s">
        <v>144</v>
      </c>
      <c r="D61" s="11">
        <v>45961</v>
      </c>
      <c r="E61" s="5" t="s">
        <v>147</v>
      </c>
      <c r="F61" s="10">
        <v>45975</v>
      </c>
      <c r="H61" s="29">
        <v>3000000</v>
      </c>
      <c r="J61" s="29"/>
    </row>
    <row r="62" spans="1:12" ht="27.75" customHeight="1" x14ac:dyDescent="0.4">
      <c r="A62" s="22" t="s">
        <v>93</v>
      </c>
      <c r="B62" s="21" t="s">
        <v>91</v>
      </c>
      <c r="C62" s="4" t="s">
        <v>94</v>
      </c>
      <c r="D62" s="11">
        <v>45962</v>
      </c>
      <c r="E62" s="5" t="s">
        <v>92</v>
      </c>
      <c r="F62" s="10">
        <v>45967</v>
      </c>
      <c r="H62" s="29"/>
      <c r="J62" s="29"/>
    </row>
    <row r="63" spans="1:12" ht="27.75" customHeight="1" x14ac:dyDescent="0.4">
      <c r="A63" s="12" t="s">
        <v>48</v>
      </c>
      <c r="B63" s="20" t="s">
        <v>77</v>
      </c>
      <c r="C63" s="4" t="s">
        <v>148</v>
      </c>
      <c r="D63" s="11">
        <v>45963</v>
      </c>
      <c r="E63" s="5" t="s">
        <v>149</v>
      </c>
      <c r="F63" s="10">
        <v>45965</v>
      </c>
      <c r="H63" s="29"/>
      <c r="J63" s="29"/>
    </row>
    <row r="64" spans="1:12" ht="27.75" customHeight="1" x14ac:dyDescent="0.4">
      <c r="A64" s="12" t="s">
        <v>138</v>
      </c>
      <c r="B64" s="12" t="s">
        <v>60</v>
      </c>
      <c r="C64" s="27" t="s">
        <v>143</v>
      </c>
      <c r="D64" s="11">
        <v>45965</v>
      </c>
      <c r="E64" s="5" t="s">
        <v>20</v>
      </c>
      <c r="F64" s="10">
        <v>45985</v>
      </c>
      <c r="H64" s="29"/>
      <c r="J64" s="29"/>
    </row>
    <row r="65" spans="1:12" ht="27.75" customHeight="1" x14ac:dyDescent="0.4">
      <c r="A65" s="12" t="s">
        <v>47</v>
      </c>
      <c r="B65" s="22" t="s">
        <v>109</v>
      </c>
      <c r="C65" s="4" t="s">
        <v>140</v>
      </c>
      <c r="D65" s="11">
        <v>45965</v>
      </c>
      <c r="E65" s="5" t="s">
        <v>82</v>
      </c>
      <c r="F65" s="10">
        <v>45975</v>
      </c>
      <c r="H65" s="29"/>
      <c r="J65" s="29"/>
    </row>
    <row r="66" spans="1:12" ht="27.75" customHeight="1" x14ac:dyDescent="0.4">
      <c r="A66" s="12" t="s">
        <v>45</v>
      </c>
      <c r="B66" s="12" t="s">
        <v>99</v>
      </c>
      <c r="C66" s="4" t="s">
        <v>156</v>
      </c>
      <c r="D66" s="11">
        <v>45966</v>
      </c>
      <c r="E66" s="5" t="s">
        <v>157</v>
      </c>
      <c r="F66" s="10">
        <v>45973</v>
      </c>
      <c r="H66" s="29"/>
      <c r="J66" s="29"/>
    </row>
    <row r="67" spans="1:12" ht="27.75" customHeight="1" x14ac:dyDescent="0.4">
      <c r="A67" s="12" t="s">
        <v>46</v>
      </c>
      <c r="B67" s="12" t="s">
        <v>151</v>
      </c>
      <c r="C67" s="4" t="s">
        <v>150</v>
      </c>
      <c r="D67" s="11">
        <v>45968</v>
      </c>
      <c r="E67" s="5" t="s">
        <v>152</v>
      </c>
      <c r="F67" s="10">
        <v>45681</v>
      </c>
      <c r="H67" s="29"/>
      <c r="J67" s="29"/>
    </row>
    <row r="68" spans="1:12" ht="27.75" customHeight="1" x14ac:dyDescent="0.4">
      <c r="A68" s="12" t="s">
        <v>114</v>
      </c>
      <c r="B68" s="12" t="s">
        <v>60</v>
      </c>
      <c r="C68" s="4" t="s">
        <v>158</v>
      </c>
      <c r="D68" s="11">
        <v>45968</v>
      </c>
      <c r="E68" s="5" t="s">
        <v>159</v>
      </c>
      <c r="F68" s="10">
        <v>45981</v>
      </c>
      <c r="H68" s="29"/>
      <c r="J68" s="29"/>
    </row>
    <row r="69" spans="1:12" ht="27.75" customHeight="1" x14ac:dyDescent="0.4">
      <c r="A69" s="12" t="s">
        <v>99</v>
      </c>
      <c r="B69" s="12" t="s">
        <v>145</v>
      </c>
      <c r="C69" s="4" t="s">
        <v>153</v>
      </c>
      <c r="D69" s="11">
        <v>45971</v>
      </c>
      <c r="E69" s="5" t="s">
        <v>84</v>
      </c>
      <c r="F69" s="10">
        <v>46001</v>
      </c>
      <c r="H69" s="29"/>
      <c r="J69" s="29"/>
    </row>
    <row r="70" spans="1:12" ht="27.75" customHeight="1" x14ac:dyDescent="0.4">
      <c r="A70" s="12" t="s">
        <v>46</v>
      </c>
      <c r="B70" s="12" t="s">
        <v>167</v>
      </c>
      <c r="C70" s="4" t="s">
        <v>166</v>
      </c>
      <c r="D70" s="11">
        <v>45974</v>
      </c>
      <c r="E70" s="5" t="s">
        <v>168</v>
      </c>
      <c r="F70" s="10">
        <v>45977</v>
      </c>
      <c r="H70" s="29"/>
      <c r="J70" s="29"/>
    </row>
    <row r="71" spans="1:12" ht="27.75" customHeight="1" x14ac:dyDescent="0.4">
      <c r="A71" s="12" t="s">
        <v>114</v>
      </c>
      <c r="B71" s="12" t="s">
        <v>60</v>
      </c>
      <c r="C71" s="4" t="s">
        <v>154</v>
      </c>
      <c r="D71" s="16">
        <v>45978</v>
      </c>
      <c r="E71" s="17" t="s">
        <v>155</v>
      </c>
      <c r="F71" s="24">
        <v>46018</v>
      </c>
      <c r="H71" s="29"/>
      <c r="J71" s="29"/>
    </row>
    <row r="72" spans="1:12" ht="27.75" customHeight="1" x14ac:dyDescent="0.4">
      <c r="A72" s="12" t="s">
        <v>54</v>
      </c>
      <c r="B72" s="12" t="s">
        <v>60</v>
      </c>
      <c r="C72" s="4" t="s">
        <v>169</v>
      </c>
      <c r="D72" s="11">
        <v>45978</v>
      </c>
      <c r="E72" s="5" t="s">
        <v>170</v>
      </c>
      <c r="F72" s="10">
        <v>45991</v>
      </c>
      <c r="H72" s="29">
        <v>2480000</v>
      </c>
      <c r="J72" s="29"/>
    </row>
    <row r="73" spans="1:12" ht="27.75" customHeight="1" x14ac:dyDescent="0.4">
      <c r="A73" s="12" t="s">
        <v>46</v>
      </c>
      <c r="B73" s="12" t="s">
        <v>57</v>
      </c>
      <c r="C73" s="12" t="s">
        <v>203</v>
      </c>
      <c r="D73" s="11">
        <v>45979</v>
      </c>
      <c r="E73" s="5" t="s">
        <v>137</v>
      </c>
      <c r="F73" s="10">
        <v>45981</v>
      </c>
      <c r="H73" s="29">
        <v>90000</v>
      </c>
      <c r="J73" s="29"/>
    </row>
    <row r="74" spans="1:12" ht="27.75" customHeight="1" x14ac:dyDescent="0.4">
      <c r="A74" s="12" t="s">
        <v>48</v>
      </c>
      <c r="B74" s="12" t="s">
        <v>178</v>
      </c>
      <c r="C74" s="4" t="s">
        <v>179</v>
      </c>
      <c r="D74" s="11">
        <v>45981</v>
      </c>
      <c r="E74" s="5" t="s">
        <v>180</v>
      </c>
      <c r="F74" s="10">
        <v>45983</v>
      </c>
      <c r="H74" s="29">
        <v>100000</v>
      </c>
      <c r="J74" s="29">
        <v>550000</v>
      </c>
    </row>
    <row r="75" spans="1:12" ht="27.75" customHeight="1" x14ac:dyDescent="0.4">
      <c r="A75" s="12" t="s">
        <v>181</v>
      </c>
      <c r="B75" s="12" t="s">
        <v>182</v>
      </c>
      <c r="C75" s="4" t="s">
        <v>183</v>
      </c>
      <c r="D75" s="11">
        <v>45985</v>
      </c>
      <c r="E75" s="5" t="s">
        <v>184</v>
      </c>
      <c r="F75" s="10">
        <v>46018</v>
      </c>
      <c r="H75" s="29">
        <v>4110000</v>
      </c>
      <c r="J75" s="29">
        <v>8181818</v>
      </c>
    </row>
    <row r="76" spans="1:12" ht="27.75" customHeight="1" x14ac:dyDescent="0.4">
      <c r="A76" s="12" t="s">
        <v>49</v>
      </c>
      <c r="B76" s="12" t="s">
        <v>182</v>
      </c>
      <c r="C76" s="4" t="s">
        <v>192</v>
      </c>
      <c r="D76" s="11">
        <v>45985</v>
      </c>
      <c r="E76" s="5" t="s">
        <v>82</v>
      </c>
      <c r="F76" s="10">
        <v>45995</v>
      </c>
      <c r="H76" s="29">
        <v>280000</v>
      </c>
      <c r="J76" s="29"/>
    </row>
    <row r="77" spans="1:12" ht="27.75" customHeight="1" x14ac:dyDescent="0.4">
      <c r="A77" s="12" t="s">
        <v>141</v>
      </c>
      <c r="B77" s="22" t="s">
        <v>109</v>
      </c>
      <c r="C77" s="4" t="s">
        <v>142</v>
      </c>
      <c r="D77" s="11">
        <v>45986</v>
      </c>
      <c r="E77" s="5" t="s">
        <v>82</v>
      </c>
      <c r="F77" s="10">
        <v>45996</v>
      </c>
      <c r="H77" s="29"/>
      <c r="J77" s="29">
        <v>3600000</v>
      </c>
      <c r="K77" t="s">
        <v>193</v>
      </c>
      <c r="L77" t="s">
        <v>196</v>
      </c>
    </row>
    <row r="78" spans="1:12" ht="27.75" customHeight="1" x14ac:dyDescent="0.4">
      <c r="A78" s="12" t="s">
        <v>46</v>
      </c>
      <c r="B78" s="22" t="s">
        <v>208</v>
      </c>
      <c r="C78" s="4" t="s">
        <v>160</v>
      </c>
      <c r="D78" s="11">
        <v>45986</v>
      </c>
      <c r="E78" s="5" t="s">
        <v>159</v>
      </c>
      <c r="F78" s="10">
        <v>46001</v>
      </c>
      <c r="H78" s="29"/>
      <c r="J78" s="29">
        <v>247000</v>
      </c>
      <c r="K78" t="s">
        <v>194</v>
      </c>
      <c r="L78" t="s">
        <v>195</v>
      </c>
    </row>
    <row r="79" spans="1:12" ht="27.75" customHeight="1" x14ac:dyDescent="0.4">
      <c r="A79" s="12" t="s">
        <v>174</v>
      </c>
      <c r="B79" s="12" t="s">
        <v>175</v>
      </c>
      <c r="C79" s="12" t="s">
        <v>176</v>
      </c>
      <c r="D79" s="11">
        <v>45986</v>
      </c>
      <c r="E79" s="5" t="s">
        <v>177</v>
      </c>
      <c r="F79" s="10">
        <v>45682</v>
      </c>
      <c r="H79" s="29">
        <v>10909091</v>
      </c>
      <c r="J79" s="29">
        <v>2640000</v>
      </c>
    </row>
    <row r="80" spans="1:12" ht="27.75" customHeight="1" x14ac:dyDescent="0.4">
      <c r="A80" s="12" t="s">
        <v>50</v>
      </c>
      <c r="B80" s="22" t="s">
        <v>207</v>
      </c>
      <c r="C80" s="4" t="s">
        <v>205</v>
      </c>
      <c r="D80" s="11">
        <v>45986</v>
      </c>
      <c r="E80" s="5" t="s">
        <v>137</v>
      </c>
      <c r="F80" s="10">
        <v>45988</v>
      </c>
      <c r="H80" s="29">
        <v>220000</v>
      </c>
      <c r="J80" s="29"/>
    </row>
    <row r="81" spans="1:10" ht="27.75" customHeight="1" x14ac:dyDescent="0.4">
      <c r="A81" s="12" t="s">
        <v>161</v>
      </c>
      <c r="B81" s="12" t="s">
        <v>60</v>
      </c>
      <c r="C81" s="4" t="s">
        <v>162</v>
      </c>
      <c r="D81" s="11">
        <v>45988</v>
      </c>
      <c r="E81" s="5" t="s">
        <v>163</v>
      </c>
      <c r="F81" s="10">
        <v>46003</v>
      </c>
      <c r="H81" s="29"/>
      <c r="J81" s="29">
        <v>45000</v>
      </c>
    </row>
    <row r="82" spans="1:10" ht="27.75" customHeight="1" x14ac:dyDescent="0.4">
      <c r="A82" s="12" t="s">
        <v>114</v>
      </c>
      <c r="B82" s="12" t="s">
        <v>59</v>
      </c>
      <c r="C82" s="4" t="s">
        <v>185</v>
      </c>
      <c r="D82" s="11">
        <v>45988</v>
      </c>
      <c r="E82" s="5" t="s">
        <v>84</v>
      </c>
      <c r="F82" s="10">
        <v>46018</v>
      </c>
      <c r="H82" s="29">
        <v>3098280</v>
      </c>
      <c r="J82" s="29">
        <v>2245071</v>
      </c>
    </row>
    <row r="83" spans="1:10" ht="27.75" customHeight="1" x14ac:dyDescent="0.4">
      <c r="A83" s="12" t="s">
        <v>52</v>
      </c>
      <c r="B83" s="12" t="s">
        <v>57</v>
      </c>
      <c r="C83" s="4" t="s">
        <v>186</v>
      </c>
      <c r="D83" s="11">
        <v>45996</v>
      </c>
      <c r="E83" s="5" t="s">
        <v>82</v>
      </c>
      <c r="F83" s="10">
        <v>46006</v>
      </c>
      <c r="H83" s="29">
        <v>740000</v>
      </c>
      <c r="J83" s="29"/>
    </row>
    <row r="84" spans="1:10" ht="27.75" customHeight="1" x14ac:dyDescent="0.4">
      <c r="A84" s="12" t="s">
        <v>134</v>
      </c>
      <c r="B84" s="12" t="s">
        <v>187</v>
      </c>
      <c r="C84" s="4" t="s">
        <v>188</v>
      </c>
      <c r="D84" s="11">
        <v>46001</v>
      </c>
      <c r="E84" s="5" t="s">
        <v>189</v>
      </c>
      <c r="F84" s="10">
        <v>46002</v>
      </c>
      <c r="H84" s="29">
        <v>60000</v>
      </c>
      <c r="J84" s="29"/>
    </row>
    <row r="85" spans="1:10" ht="27.75" customHeight="1" x14ac:dyDescent="0.4">
      <c r="A85" s="28" t="s">
        <v>134</v>
      </c>
      <c r="B85" s="22" t="s">
        <v>204</v>
      </c>
      <c r="C85" s="4" t="s">
        <v>164</v>
      </c>
      <c r="D85" s="11">
        <v>46006</v>
      </c>
      <c r="E85" s="5" t="s">
        <v>165</v>
      </c>
      <c r="F85" s="10">
        <v>46020</v>
      </c>
      <c r="H85" s="29">
        <v>1460000</v>
      </c>
      <c r="J85" s="29"/>
    </row>
    <row r="86" spans="1:10" ht="27.75" customHeight="1" x14ac:dyDescent="0.4">
      <c r="A86" s="12" t="s">
        <v>190</v>
      </c>
      <c r="B86" s="12" t="s">
        <v>62</v>
      </c>
      <c r="C86" s="4" t="s">
        <v>191</v>
      </c>
      <c r="D86" s="11">
        <v>45663</v>
      </c>
      <c r="E86" s="5" t="s">
        <v>82</v>
      </c>
      <c r="F86" s="10">
        <v>45673</v>
      </c>
      <c r="H86" s="29" t="s">
        <v>197</v>
      </c>
    </row>
    <row r="87" spans="1:10" ht="27.75" customHeight="1" x14ac:dyDescent="0.4">
      <c r="A87" s="12" t="s">
        <v>119</v>
      </c>
      <c r="B87" s="12" t="s">
        <v>198</v>
      </c>
      <c r="C87" s="4" t="s">
        <v>199</v>
      </c>
      <c r="D87" s="11">
        <v>45687</v>
      </c>
      <c r="E87" s="5" t="s">
        <v>200</v>
      </c>
      <c r="F87" s="10">
        <v>45708</v>
      </c>
      <c r="H87" s="29">
        <v>3210000</v>
      </c>
    </row>
    <row r="88" spans="1:10" ht="27.75" customHeight="1" x14ac:dyDescent="0.4">
      <c r="A88" s="12"/>
      <c r="B88" s="12"/>
      <c r="C88" s="4"/>
      <c r="D88" s="5"/>
      <c r="E88" s="5"/>
      <c r="F88" s="6"/>
      <c r="H88" s="29"/>
      <c r="J88" s="29"/>
    </row>
    <row r="89" spans="1:10" ht="27.75" customHeight="1" x14ac:dyDescent="0.4">
      <c r="A89" s="12"/>
      <c r="B89" s="12"/>
      <c r="C89" s="4"/>
      <c r="D89" s="5"/>
      <c r="E89" s="5"/>
      <c r="F89" s="6"/>
      <c r="H89" s="29"/>
      <c r="J89" s="29"/>
    </row>
    <row r="90" spans="1:10" ht="27.75" customHeight="1" x14ac:dyDescent="0.4">
      <c r="A90" s="12"/>
      <c r="B90" s="12"/>
      <c r="C90" s="4"/>
      <c r="D90" s="5"/>
      <c r="E90" s="5"/>
      <c r="F90" s="6"/>
      <c r="H90" s="29"/>
      <c r="J90" s="29"/>
    </row>
    <row r="91" spans="1:10" ht="27.75" customHeight="1" x14ac:dyDescent="0.4">
      <c r="A91" s="12"/>
      <c r="B91" s="12"/>
      <c r="C91" s="4"/>
      <c r="D91" s="5"/>
      <c r="E91" s="5"/>
      <c r="F91" s="6"/>
      <c r="H91" s="29"/>
      <c r="J91" s="29"/>
    </row>
    <row r="92" spans="1:10" ht="27.75" customHeight="1" x14ac:dyDescent="0.4">
      <c r="A92" s="12"/>
      <c r="B92" s="12"/>
      <c r="C92" s="4"/>
      <c r="D92" s="5"/>
      <c r="E92" s="5"/>
      <c r="F92" s="6"/>
      <c r="H92" s="29"/>
      <c r="J92" s="29"/>
    </row>
    <row r="93" spans="1:10" ht="27.75" customHeight="1" x14ac:dyDescent="0.4">
      <c r="A93" s="12"/>
      <c r="B93" s="12"/>
      <c r="C93" s="4"/>
      <c r="D93" s="5"/>
      <c r="E93" s="5"/>
      <c r="F93" s="6"/>
      <c r="H93" s="29"/>
      <c r="J93" s="29"/>
    </row>
    <row r="94" spans="1:10" ht="27.75" customHeight="1" x14ac:dyDescent="0.4">
      <c r="A94" s="12"/>
      <c r="B94" s="12"/>
      <c r="C94" s="4"/>
      <c r="D94" s="5"/>
      <c r="E94" s="5"/>
      <c r="F94" s="6"/>
      <c r="H94" s="29"/>
      <c r="J94" s="29"/>
    </row>
    <row r="95" spans="1:10" ht="27.75" customHeight="1" x14ac:dyDescent="0.4">
      <c r="A95" s="12"/>
      <c r="B95" s="12"/>
      <c r="C95" s="4"/>
      <c r="D95" s="5"/>
      <c r="E95" s="5"/>
      <c r="F95" s="6"/>
      <c r="H95" s="29"/>
      <c r="J95" s="29"/>
    </row>
    <row r="96" spans="1:10" ht="27.75" customHeight="1" x14ac:dyDescent="0.4">
      <c r="A96" s="12"/>
      <c r="B96" s="12"/>
      <c r="C96" s="4"/>
      <c r="D96" s="5"/>
      <c r="E96" s="5"/>
      <c r="F96" s="6"/>
      <c r="H96" s="29"/>
      <c r="J96" s="29"/>
    </row>
    <row r="97" spans="1:10" ht="27.75" customHeight="1" x14ac:dyDescent="0.4">
      <c r="A97" s="12"/>
      <c r="B97" s="12"/>
      <c r="C97" s="4"/>
      <c r="D97" s="5"/>
      <c r="E97" s="5"/>
      <c r="F97" s="6"/>
      <c r="H97" s="29"/>
      <c r="J97" s="29"/>
    </row>
    <row r="98" spans="1:10" ht="27.75" customHeight="1" x14ac:dyDescent="0.4">
      <c r="A98" s="12"/>
      <c r="B98" s="12"/>
      <c r="C98" s="4"/>
      <c r="D98" s="5"/>
      <c r="E98" s="5"/>
      <c r="F98" s="6"/>
      <c r="H98" s="29"/>
      <c r="J98" s="29"/>
    </row>
    <row r="99" spans="1:10" ht="27.75" customHeight="1" x14ac:dyDescent="0.4">
      <c r="A99" s="12"/>
      <c r="B99" s="12"/>
      <c r="C99" s="4"/>
      <c r="D99" s="5"/>
      <c r="E99" s="5"/>
      <c r="F99" s="6"/>
      <c r="H99" s="29"/>
      <c r="J99" s="29"/>
    </row>
    <row r="100" spans="1:10" ht="27.75" customHeight="1" x14ac:dyDescent="0.4">
      <c r="A100" s="12"/>
      <c r="B100" s="12"/>
      <c r="C100" s="4"/>
      <c r="D100" s="5"/>
      <c r="E100" s="5"/>
      <c r="F100" s="6"/>
      <c r="H100" s="29"/>
      <c r="J100" s="29"/>
    </row>
    <row r="101" spans="1:10" ht="27.75" customHeight="1" x14ac:dyDescent="0.4">
      <c r="A101" s="12"/>
      <c r="B101" s="12"/>
      <c r="C101" s="4"/>
      <c r="D101" s="5"/>
      <c r="E101" s="5"/>
      <c r="F101" s="6"/>
      <c r="H101" s="29"/>
      <c r="J101" s="29"/>
    </row>
    <row r="102" spans="1:10" ht="27.75" customHeight="1" x14ac:dyDescent="0.4">
      <c r="A102" s="12"/>
      <c r="B102" s="12"/>
      <c r="C102" s="4"/>
      <c r="D102" s="5"/>
      <c r="E102" s="5"/>
      <c r="F102" s="6"/>
      <c r="H102" s="29"/>
      <c r="J102" s="29"/>
    </row>
    <row r="103" spans="1:10" ht="27.75" customHeight="1" x14ac:dyDescent="0.4">
      <c r="A103" s="12"/>
      <c r="B103" s="12"/>
      <c r="C103" s="4"/>
      <c r="D103" s="5"/>
      <c r="E103" s="5"/>
      <c r="F103" s="6"/>
      <c r="H103" s="29"/>
      <c r="J103" s="29"/>
    </row>
    <row r="104" spans="1:10" ht="27.75" customHeight="1" x14ac:dyDescent="0.4">
      <c r="A104" s="12"/>
      <c r="B104" s="12"/>
      <c r="C104" s="4"/>
      <c r="D104" s="5"/>
      <c r="E104" s="5"/>
      <c r="F104" s="6"/>
      <c r="H104" s="29"/>
      <c r="J104" s="29"/>
    </row>
    <row r="105" spans="1:10" ht="27.75" customHeight="1" x14ac:dyDescent="0.4">
      <c r="A105" s="12"/>
      <c r="B105" s="12"/>
      <c r="C105" s="4"/>
      <c r="D105" s="5"/>
      <c r="E105" s="5"/>
      <c r="F105" s="6"/>
      <c r="H105" s="29"/>
    </row>
    <row r="106" spans="1:10" ht="27.75" customHeight="1" x14ac:dyDescent="0.4">
      <c r="A106" s="12"/>
      <c r="B106" s="12"/>
      <c r="C106" s="4"/>
      <c r="D106" s="5"/>
      <c r="E106" s="5"/>
      <c r="F106" s="6"/>
    </row>
    <row r="107" spans="1:10" ht="27.75" customHeight="1" x14ac:dyDescent="0.4">
      <c r="A107" s="12"/>
      <c r="B107" s="12"/>
      <c r="C107" s="4"/>
      <c r="D107" s="5"/>
      <c r="E107" s="5"/>
      <c r="F107" s="6"/>
    </row>
    <row r="108" spans="1:10" ht="27.75" customHeight="1" x14ac:dyDescent="0.4">
      <c r="A108" s="12"/>
      <c r="B108" s="12"/>
      <c r="C108" s="4"/>
      <c r="D108" s="5"/>
      <c r="E108" s="5"/>
      <c r="F108" s="6"/>
    </row>
    <row r="109" spans="1:10" ht="27.75" customHeight="1" x14ac:dyDescent="0.4">
      <c r="A109" s="12"/>
      <c r="B109" s="12"/>
      <c r="C109" s="4"/>
      <c r="D109" s="5"/>
      <c r="E109" s="5"/>
      <c r="F109" s="6"/>
    </row>
    <row r="110" spans="1:10" ht="27.75" customHeight="1" x14ac:dyDescent="0.4">
      <c r="A110" s="12"/>
      <c r="B110" s="12"/>
      <c r="C110" s="4"/>
      <c r="D110" s="5"/>
      <c r="E110" s="5"/>
      <c r="F110" s="6"/>
    </row>
    <row r="111" spans="1:10" ht="27.75" customHeight="1" x14ac:dyDescent="0.4">
      <c r="A111" s="12"/>
      <c r="B111" s="12"/>
      <c r="C111" s="4"/>
      <c r="D111" s="5"/>
      <c r="E111" s="5"/>
      <c r="F111" s="6"/>
    </row>
    <row r="112" spans="1:10" ht="27.75" customHeight="1" x14ac:dyDescent="0.4">
      <c r="A112" s="12"/>
      <c r="B112" s="12"/>
      <c r="C112" s="4"/>
      <c r="D112" s="5"/>
      <c r="E112" s="5"/>
      <c r="F112" s="6"/>
    </row>
    <row r="113" spans="1:6" ht="27.75" customHeight="1" x14ac:dyDescent="0.4">
      <c r="A113" s="12"/>
      <c r="B113" s="12"/>
      <c r="C113" s="4"/>
      <c r="D113" s="5"/>
      <c r="E113" s="5"/>
      <c r="F113" s="6"/>
    </row>
    <row r="114" spans="1:6" ht="27.75" customHeight="1" x14ac:dyDescent="0.4">
      <c r="A114" s="12"/>
      <c r="B114" s="12"/>
      <c r="C114" s="4"/>
      <c r="D114" s="5"/>
      <c r="E114" s="5"/>
      <c r="F114" s="6"/>
    </row>
    <row r="115" spans="1:6" ht="27.75" customHeight="1" x14ac:dyDescent="0.4">
      <c r="A115" s="12"/>
      <c r="B115" s="12"/>
      <c r="C115" s="4"/>
      <c r="D115" s="5"/>
      <c r="E115" s="5"/>
      <c r="F115" s="6"/>
    </row>
    <row r="116" spans="1:6" ht="27.75" customHeight="1" x14ac:dyDescent="0.4">
      <c r="A116" s="12"/>
      <c r="B116" s="12"/>
      <c r="C116" s="4"/>
      <c r="D116" s="5"/>
      <c r="E116" s="5"/>
      <c r="F116" s="6"/>
    </row>
    <row r="117" spans="1:6" ht="27.75" customHeight="1" x14ac:dyDescent="0.4">
      <c r="A117" s="12"/>
      <c r="B117" s="12"/>
      <c r="C117" s="4"/>
      <c r="D117" s="5"/>
      <c r="E117" s="5"/>
      <c r="F117" s="6"/>
    </row>
    <row r="118" spans="1:6" ht="27.75" customHeight="1" x14ac:dyDescent="0.4">
      <c r="A118" s="12"/>
      <c r="B118" s="12"/>
      <c r="C118" s="4"/>
      <c r="D118" s="5"/>
      <c r="E118" s="5"/>
      <c r="F118" s="6"/>
    </row>
    <row r="119" spans="1:6" ht="27.75" customHeight="1" x14ac:dyDescent="0.4">
      <c r="A119" s="12"/>
      <c r="B119" s="12"/>
      <c r="C119" s="4"/>
      <c r="D119" s="5"/>
      <c r="E119" s="5"/>
      <c r="F119" s="6"/>
    </row>
    <row r="120" spans="1:6" ht="27.75" customHeight="1" x14ac:dyDescent="0.4">
      <c r="A120" s="12"/>
      <c r="B120" s="12"/>
      <c r="C120" s="4"/>
      <c r="D120" s="5"/>
      <c r="E120" s="5"/>
      <c r="F120" s="6"/>
    </row>
    <row r="121" spans="1:6" ht="27.75" customHeight="1" x14ac:dyDescent="0.4">
      <c r="A121" s="12"/>
      <c r="B121" s="12"/>
      <c r="C121" s="4"/>
      <c r="D121" s="5"/>
      <c r="E121" s="5"/>
      <c r="F121" s="6"/>
    </row>
    <row r="122" spans="1:6" ht="27.75" customHeight="1" x14ac:dyDescent="0.4">
      <c r="A122" s="12"/>
      <c r="B122" s="12"/>
      <c r="C122" s="4"/>
      <c r="D122" s="5"/>
      <c r="E122" s="5"/>
      <c r="F122" s="6"/>
    </row>
    <row r="123" spans="1:6" ht="27.75" customHeight="1" x14ac:dyDescent="0.4">
      <c r="A123" s="12"/>
      <c r="B123" s="12"/>
      <c r="C123" s="4"/>
      <c r="D123" s="5"/>
      <c r="E123" s="5"/>
      <c r="F123" s="6"/>
    </row>
    <row r="124" spans="1:6" ht="27.75" customHeight="1" x14ac:dyDescent="0.4">
      <c r="A124" s="12"/>
      <c r="B124" s="12"/>
      <c r="C124" s="4"/>
      <c r="D124" s="5"/>
      <c r="E124" s="5"/>
      <c r="F124" s="6"/>
    </row>
    <row r="125" spans="1:6" ht="27.75" customHeight="1" x14ac:dyDescent="0.4">
      <c r="A125" s="12"/>
      <c r="B125" s="12"/>
      <c r="C125" s="4"/>
      <c r="D125" s="5"/>
      <c r="E125" s="5"/>
      <c r="F125" s="6"/>
    </row>
    <row r="126" spans="1:6" ht="27.75" customHeight="1" x14ac:dyDescent="0.4">
      <c r="A126" s="12"/>
      <c r="B126" s="12"/>
      <c r="C126" s="4"/>
      <c r="D126" s="5"/>
      <c r="E126" s="5"/>
      <c r="F126" s="6"/>
    </row>
    <row r="127" spans="1:6" ht="27.75" customHeight="1" x14ac:dyDescent="0.4">
      <c r="A127" s="12"/>
      <c r="B127" s="12"/>
      <c r="C127" s="4"/>
      <c r="D127" s="5"/>
      <c r="E127" s="5"/>
      <c r="F127" s="6"/>
    </row>
    <row r="128" spans="1:6" ht="27.75" customHeight="1" x14ac:dyDescent="0.4">
      <c r="A128" s="12"/>
      <c r="B128" s="12"/>
      <c r="C128" s="4"/>
      <c r="D128" s="5"/>
      <c r="E128" s="5"/>
      <c r="F128" s="6"/>
    </row>
    <row r="129" spans="1:6" ht="27.75" customHeight="1" x14ac:dyDescent="0.4">
      <c r="A129" s="12"/>
      <c r="B129" s="12"/>
      <c r="C129" s="4"/>
      <c r="D129" s="5"/>
      <c r="E129" s="5"/>
      <c r="F129" s="6"/>
    </row>
    <row r="130" spans="1:6" ht="27.75" customHeight="1" x14ac:dyDescent="0.4">
      <c r="A130" s="12"/>
      <c r="B130" s="12"/>
      <c r="C130" s="4"/>
      <c r="D130" s="5"/>
      <c r="E130" s="5"/>
      <c r="F130" s="6"/>
    </row>
    <row r="131" spans="1:6" ht="27.75" customHeight="1" x14ac:dyDescent="0.4">
      <c r="A131" s="12"/>
      <c r="B131" s="12"/>
      <c r="C131" s="4"/>
      <c r="D131" s="5"/>
      <c r="E131" s="5"/>
      <c r="F131" s="6"/>
    </row>
    <row r="132" spans="1:6" ht="27.75" customHeight="1" x14ac:dyDescent="0.4">
      <c r="A132" s="12"/>
      <c r="B132" s="12"/>
      <c r="C132" s="4"/>
      <c r="D132" s="5"/>
      <c r="E132" s="5"/>
      <c r="F132" s="6"/>
    </row>
    <row r="133" spans="1:6" ht="27.75" customHeight="1" x14ac:dyDescent="0.4">
      <c r="A133" s="12"/>
      <c r="B133" s="12"/>
      <c r="C133" s="4"/>
      <c r="D133" s="5"/>
      <c r="E133" s="5"/>
      <c r="F133" s="6"/>
    </row>
    <row r="134" spans="1:6" ht="27.75" customHeight="1" x14ac:dyDescent="0.4">
      <c r="A134" s="12"/>
      <c r="B134" s="12"/>
      <c r="C134" s="4"/>
      <c r="D134" s="5"/>
      <c r="E134" s="5"/>
      <c r="F134" s="6"/>
    </row>
    <row r="135" spans="1:6" ht="27.75" customHeight="1" x14ac:dyDescent="0.4">
      <c r="A135" s="12"/>
      <c r="B135" s="12"/>
      <c r="C135" s="4"/>
      <c r="D135" s="5"/>
      <c r="E135" s="5"/>
      <c r="F135" s="6"/>
    </row>
    <row r="136" spans="1:6" ht="27.75" customHeight="1" x14ac:dyDescent="0.4">
      <c r="A136" s="12"/>
      <c r="B136" s="12"/>
      <c r="C136" s="4"/>
      <c r="D136" s="5"/>
      <c r="E136" s="5"/>
      <c r="F136" s="6"/>
    </row>
    <row r="137" spans="1:6" ht="27.75" customHeight="1" x14ac:dyDescent="0.4">
      <c r="A137" s="12"/>
      <c r="B137" s="12"/>
      <c r="C137" s="4"/>
      <c r="D137" s="5"/>
      <c r="E137" s="5"/>
      <c r="F137" s="6"/>
    </row>
    <row r="138" spans="1:6" ht="27.75" customHeight="1" x14ac:dyDescent="0.4">
      <c r="A138" s="12"/>
      <c r="B138" s="12"/>
      <c r="C138" s="4"/>
      <c r="D138" s="5"/>
      <c r="E138" s="5"/>
      <c r="F138" s="6"/>
    </row>
    <row r="139" spans="1:6" ht="27.75" customHeight="1" x14ac:dyDescent="0.4">
      <c r="A139" s="12"/>
      <c r="B139" s="12"/>
      <c r="C139" s="4"/>
      <c r="D139" s="5"/>
      <c r="E139" s="5"/>
      <c r="F139" s="6"/>
    </row>
    <row r="140" spans="1:6" ht="27.75" customHeight="1" x14ac:dyDescent="0.4">
      <c r="A140" s="12"/>
      <c r="B140" s="12"/>
      <c r="C140" s="4"/>
      <c r="D140" s="5"/>
      <c r="E140" s="5"/>
      <c r="F140" s="6"/>
    </row>
    <row r="141" spans="1:6" ht="27.75" customHeight="1" x14ac:dyDescent="0.4">
      <c r="A141" s="12"/>
      <c r="B141" s="12"/>
      <c r="C141" s="4"/>
      <c r="D141" s="5"/>
      <c r="E141" s="5"/>
      <c r="F141" s="6"/>
    </row>
    <row r="142" spans="1:6" ht="27.75" customHeight="1" x14ac:dyDescent="0.4">
      <c r="A142" s="12"/>
      <c r="B142" s="12"/>
      <c r="C142" s="4"/>
      <c r="D142" s="5"/>
      <c r="E142" s="5"/>
      <c r="F142" s="6"/>
    </row>
    <row r="143" spans="1:6" ht="27.75" customHeight="1" x14ac:dyDescent="0.4">
      <c r="A143" s="12"/>
      <c r="B143" s="12"/>
      <c r="C143" s="4"/>
      <c r="D143" s="5"/>
      <c r="E143" s="5"/>
      <c r="F143" s="6"/>
    </row>
    <row r="144" spans="1:6" ht="27.75" customHeight="1" x14ac:dyDescent="0.4">
      <c r="A144" s="12"/>
      <c r="B144" s="12"/>
      <c r="C144" s="4"/>
      <c r="D144" s="5"/>
      <c r="E144" s="5"/>
      <c r="F144" s="6"/>
    </row>
    <row r="145" spans="1:6" ht="27.75" customHeight="1" x14ac:dyDescent="0.4">
      <c r="A145" s="12"/>
      <c r="B145" s="12"/>
      <c r="C145" s="4"/>
      <c r="D145" s="5"/>
      <c r="E145" s="5"/>
      <c r="F145" s="6"/>
    </row>
    <row r="146" spans="1:6" ht="27.75" customHeight="1" x14ac:dyDescent="0.4">
      <c r="A146" s="12"/>
      <c r="B146" s="12"/>
      <c r="C146" s="4"/>
      <c r="D146" s="5"/>
      <c r="E146" s="5"/>
      <c r="F146" s="6"/>
    </row>
    <row r="147" spans="1:6" ht="27.75" customHeight="1" x14ac:dyDescent="0.4">
      <c r="A147" s="12"/>
      <c r="B147" s="12"/>
      <c r="C147" s="4"/>
      <c r="D147" s="5"/>
      <c r="E147" s="5"/>
      <c r="F147" s="6"/>
    </row>
    <row r="148" spans="1:6" ht="27.75" customHeight="1" x14ac:dyDescent="0.4">
      <c r="A148" s="12"/>
      <c r="B148" s="12"/>
      <c r="C148" s="4"/>
      <c r="D148" s="5"/>
      <c r="E148" s="5"/>
      <c r="F148" s="6"/>
    </row>
    <row r="149" spans="1:6" ht="27.75" customHeight="1" x14ac:dyDescent="0.4">
      <c r="A149" s="12"/>
      <c r="B149" s="12"/>
      <c r="C149" s="4"/>
      <c r="D149" s="5"/>
      <c r="E149" s="5"/>
      <c r="F149" s="6"/>
    </row>
    <row r="150" spans="1:6" ht="27.75" customHeight="1" x14ac:dyDescent="0.4">
      <c r="A150" s="12"/>
      <c r="B150" s="12"/>
      <c r="C150" s="4"/>
      <c r="D150" s="5"/>
      <c r="E150" s="5"/>
      <c r="F150" s="6"/>
    </row>
    <row r="151" spans="1:6" ht="27.75" customHeight="1" x14ac:dyDescent="0.4">
      <c r="A151" s="12"/>
      <c r="B151" s="12"/>
      <c r="C151" s="4"/>
      <c r="D151" s="5"/>
      <c r="E151" s="5"/>
      <c r="F151" s="6"/>
    </row>
    <row r="152" spans="1:6" ht="27.75" customHeight="1" x14ac:dyDescent="0.4">
      <c r="A152" s="12"/>
      <c r="B152" s="12"/>
      <c r="C152" s="4"/>
      <c r="D152" s="5"/>
      <c r="E152" s="5"/>
      <c r="F152" s="6"/>
    </row>
    <row r="153" spans="1:6" ht="27.75" customHeight="1" x14ac:dyDescent="0.4">
      <c r="A153" s="12"/>
      <c r="B153" s="12"/>
      <c r="C153" s="4"/>
      <c r="D153" s="5"/>
      <c r="E153" s="5"/>
      <c r="F153" s="6"/>
    </row>
    <row r="154" spans="1:6" ht="27.75" customHeight="1" x14ac:dyDescent="0.4">
      <c r="A154" s="12"/>
      <c r="B154" s="12"/>
      <c r="C154" s="4"/>
      <c r="D154" s="5"/>
      <c r="E154" s="5"/>
      <c r="F154" s="6"/>
    </row>
    <row r="155" spans="1:6" ht="27.75" customHeight="1" x14ac:dyDescent="0.4">
      <c r="A155" s="12"/>
      <c r="B155" s="12"/>
      <c r="C155" s="4"/>
      <c r="D155" s="5"/>
      <c r="E155" s="5"/>
      <c r="F155" s="6"/>
    </row>
    <row r="156" spans="1:6" ht="27.75" customHeight="1" x14ac:dyDescent="0.4">
      <c r="A156" s="12"/>
      <c r="B156" s="12"/>
      <c r="C156" s="4"/>
      <c r="D156" s="5"/>
      <c r="E156" s="5"/>
      <c r="F156" s="6"/>
    </row>
    <row r="157" spans="1:6" ht="27.75" customHeight="1" x14ac:dyDescent="0.4">
      <c r="A157" s="12"/>
      <c r="B157" s="12"/>
      <c r="C157" s="4"/>
      <c r="D157" s="5"/>
      <c r="E157" s="5"/>
      <c r="F157" s="6"/>
    </row>
    <row r="158" spans="1:6" ht="27.75" customHeight="1" x14ac:dyDescent="0.4">
      <c r="A158" s="12"/>
      <c r="B158" s="12"/>
      <c r="C158" s="4"/>
      <c r="D158" s="5"/>
      <c r="E158" s="5"/>
      <c r="F158" s="6"/>
    </row>
    <row r="159" spans="1:6" ht="27.75" customHeight="1" x14ac:dyDescent="0.4">
      <c r="A159" s="12"/>
      <c r="B159" s="12"/>
      <c r="C159" s="4"/>
      <c r="D159" s="5"/>
      <c r="E159" s="5"/>
      <c r="F159" s="6"/>
    </row>
    <row r="160" spans="1:6" ht="27.75" customHeight="1" x14ac:dyDescent="0.4">
      <c r="A160" s="12"/>
      <c r="B160" s="12"/>
      <c r="C160" s="4"/>
      <c r="D160" s="5"/>
      <c r="E160" s="5"/>
      <c r="F160" s="6"/>
    </row>
    <row r="161" spans="1:6" ht="27.75" customHeight="1" x14ac:dyDescent="0.4">
      <c r="A161" s="12"/>
      <c r="B161" s="12"/>
      <c r="C161" s="4"/>
      <c r="D161" s="5"/>
      <c r="E161" s="5"/>
      <c r="F161" s="6"/>
    </row>
    <row r="162" spans="1:6" ht="27.75" customHeight="1" x14ac:dyDescent="0.4">
      <c r="A162" s="12"/>
      <c r="B162" s="12"/>
      <c r="C162" s="4"/>
      <c r="D162" s="5"/>
      <c r="E162" s="5"/>
      <c r="F162" s="6"/>
    </row>
    <row r="163" spans="1:6" ht="27.75" customHeight="1" x14ac:dyDescent="0.4">
      <c r="A163" s="12"/>
      <c r="B163" s="12"/>
      <c r="C163" s="4"/>
      <c r="D163" s="5"/>
      <c r="E163" s="5"/>
      <c r="F163" s="6"/>
    </row>
    <row r="164" spans="1:6" ht="27.75" customHeight="1" x14ac:dyDescent="0.4">
      <c r="A164" s="12"/>
      <c r="B164" s="12"/>
      <c r="C164" s="4"/>
      <c r="D164" s="5"/>
      <c r="E164" s="5"/>
      <c r="F164" s="6"/>
    </row>
    <row r="165" spans="1:6" ht="27.75" customHeight="1" x14ac:dyDescent="0.4">
      <c r="A165" s="12"/>
      <c r="B165" s="12"/>
      <c r="C165" s="4"/>
      <c r="D165" s="5"/>
      <c r="E165" s="5"/>
      <c r="F165" s="6"/>
    </row>
    <row r="166" spans="1:6" ht="27.75" customHeight="1" x14ac:dyDescent="0.4">
      <c r="A166" s="12"/>
      <c r="B166" s="12"/>
      <c r="C166" s="4"/>
      <c r="D166" s="5"/>
      <c r="E166" s="5"/>
      <c r="F166" s="6"/>
    </row>
    <row r="167" spans="1:6" ht="27.75" customHeight="1" x14ac:dyDescent="0.4">
      <c r="A167" s="12"/>
      <c r="B167" s="12"/>
      <c r="C167" s="4"/>
      <c r="D167" s="5"/>
      <c r="E167" s="5"/>
      <c r="F167" s="6"/>
    </row>
    <row r="168" spans="1:6" ht="27.75" customHeight="1" x14ac:dyDescent="0.4">
      <c r="A168" s="12"/>
      <c r="B168" s="12"/>
      <c r="C168" s="4"/>
      <c r="D168" s="5"/>
      <c r="E168" s="5"/>
      <c r="F168" s="6"/>
    </row>
    <row r="169" spans="1:6" ht="27.75" customHeight="1" x14ac:dyDescent="0.4">
      <c r="A169" s="12"/>
      <c r="B169" s="12"/>
      <c r="C169" s="4"/>
      <c r="D169" s="5"/>
      <c r="E169" s="5"/>
      <c r="F169" s="6"/>
    </row>
    <row r="170" spans="1:6" ht="27.75" customHeight="1" x14ac:dyDescent="0.4">
      <c r="A170" s="12"/>
      <c r="B170" s="12"/>
      <c r="C170" s="4"/>
      <c r="D170" s="5"/>
      <c r="E170" s="5"/>
      <c r="F170" s="6"/>
    </row>
    <row r="171" spans="1:6" ht="27.75" customHeight="1" x14ac:dyDescent="0.4">
      <c r="A171" s="12"/>
      <c r="B171" s="12"/>
      <c r="C171" s="4"/>
      <c r="D171" s="5"/>
      <c r="E171" s="5"/>
      <c r="F171" s="6"/>
    </row>
    <row r="172" spans="1:6" ht="27.75" customHeight="1" x14ac:dyDescent="0.4">
      <c r="A172" s="12"/>
      <c r="B172" s="12"/>
      <c r="C172" s="4"/>
      <c r="D172" s="5"/>
      <c r="E172" s="5"/>
      <c r="F172" s="6"/>
    </row>
    <row r="173" spans="1:6" ht="27.75" customHeight="1" x14ac:dyDescent="0.4">
      <c r="A173" s="12"/>
      <c r="B173" s="12"/>
      <c r="C173" s="4"/>
      <c r="D173" s="5"/>
      <c r="E173" s="5"/>
      <c r="F173" s="6"/>
    </row>
    <row r="174" spans="1:6" ht="27.75" customHeight="1" x14ac:dyDescent="0.4">
      <c r="A174" s="12"/>
      <c r="B174" s="12"/>
      <c r="C174" s="4"/>
      <c r="D174" s="5"/>
      <c r="E174" s="5"/>
      <c r="F174" s="6"/>
    </row>
    <row r="175" spans="1:6" ht="27.75" customHeight="1" x14ac:dyDescent="0.4">
      <c r="A175" s="12"/>
      <c r="B175" s="12"/>
      <c r="C175" s="4"/>
      <c r="D175" s="5"/>
      <c r="E175" s="5"/>
      <c r="F175" s="6"/>
    </row>
    <row r="176" spans="1:6" ht="27.75" customHeight="1" x14ac:dyDescent="0.4">
      <c r="A176" s="12"/>
      <c r="B176" s="12"/>
      <c r="C176" s="4"/>
      <c r="D176" s="5"/>
      <c r="E176" s="5"/>
      <c r="F176" s="6"/>
    </row>
    <row r="177" spans="1:6" ht="27.75" customHeight="1" x14ac:dyDescent="0.4">
      <c r="A177" s="12"/>
      <c r="B177" s="12"/>
      <c r="C177" s="4"/>
      <c r="D177" s="5"/>
      <c r="E177" s="5"/>
      <c r="F177" s="6"/>
    </row>
    <row r="178" spans="1:6" ht="27.75" customHeight="1" x14ac:dyDescent="0.4">
      <c r="A178" s="12"/>
      <c r="B178" s="12"/>
      <c r="C178" s="4"/>
      <c r="D178" s="5"/>
      <c r="E178" s="5"/>
      <c r="F178" s="6"/>
    </row>
    <row r="179" spans="1:6" ht="27.75" customHeight="1" x14ac:dyDescent="0.4">
      <c r="A179" s="12"/>
      <c r="B179" s="12"/>
      <c r="C179" s="4"/>
      <c r="D179" s="5"/>
      <c r="E179" s="5"/>
      <c r="F179" s="6"/>
    </row>
    <row r="180" spans="1:6" ht="27.75" customHeight="1" x14ac:dyDescent="0.4">
      <c r="A180" s="12"/>
      <c r="B180" s="12"/>
      <c r="C180" s="4"/>
      <c r="D180" s="5"/>
      <c r="E180" s="5"/>
      <c r="F180" s="6"/>
    </row>
    <row r="181" spans="1:6" ht="27.75" customHeight="1" x14ac:dyDescent="0.4">
      <c r="A181" s="12"/>
      <c r="B181" s="12"/>
      <c r="C181" s="4"/>
      <c r="D181" s="5"/>
      <c r="E181" s="5"/>
      <c r="F181" s="6"/>
    </row>
    <row r="182" spans="1:6" ht="27.75" customHeight="1" x14ac:dyDescent="0.4">
      <c r="A182" s="12"/>
      <c r="B182" s="12"/>
      <c r="C182" s="4"/>
      <c r="D182" s="5"/>
      <c r="E182" s="5"/>
      <c r="F182" s="6"/>
    </row>
    <row r="183" spans="1:6" ht="27.75" customHeight="1" x14ac:dyDescent="0.4">
      <c r="A183" s="12"/>
      <c r="B183" s="12"/>
      <c r="C183" s="4"/>
      <c r="D183" s="5"/>
      <c r="E183" s="5"/>
      <c r="F183" s="6"/>
    </row>
    <row r="184" spans="1:6" ht="27.75" customHeight="1" x14ac:dyDescent="0.4">
      <c r="A184" s="12"/>
      <c r="B184" s="12"/>
      <c r="C184" s="4"/>
      <c r="D184" s="5"/>
      <c r="E184" s="5"/>
      <c r="F184" s="6"/>
    </row>
    <row r="185" spans="1:6" ht="27.75" customHeight="1" x14ac:dyDescent="0.4">
      <c r="A185" s="12"/>
      <c r="B185" s="12"/>
      <c r="C185" s="4"/>
      <c r="D185" s="5"/>
      <c r="E185" s="5"/>
      <c r="F185" s="6"/>
    </row>
    <row r="186" spans="1:6" ht="27.75" customHeight="1" x14ac:dyDescent="0.4">
      <c r="A186" s="12"/>
      <c r="B186" s="12"/>
      <c r="C186" s="4"/>
      <c r="D186" s="5"/>
      <c r="E186" s="5"/>
      <c r="F186" s="6"/>
    </row>
    <row r="187" spans="1:6" ht="27.75" customHeight="1" x14ac:dyDescent="0.4">
      <c r="A187" s="12"/>
      <c r="B187" s="12"/>
      <c r="C187" s="4"/>
      <c r="D187" s="5"/>
      <c r="E187" s="5"/>
      <c r="F187" s="6"/>
    </row>
    <row r="188" spans="1:6" ht="27.75" customHeight="1" x14ac:dyDescent="0.4">
      <c r="A188" s="12"/>
      <c r="B188" s="12"/>
      <c r="C188" s="4"/>
      <c r="D188" s="5"/>
      <c r="E188" s="5"/>
      <c r="F188" s="6"/>
    </row>
    <row r="189" spans="1:6" ht="27.75" customHeight="1" x14ac:dyDescent="0.4">
      <c r="A189" s="12"/>
      <c r="B189" s="12"/>
      <c r="C189" s="4"/>
      <c r="D189" s="5"/>
      <c r="E189" s="5"/>
      <c r="F189" s="6"/>
    </row>
    <row r="190" spans="1:6" ht="27.75" customHeight="1" x14ac:dyDescent="0.4">
      <c r="A190" s="12"/>
      <c r="B190" s="12"/>
      <c r="C190" s="4"/>
      <c r="D190" s="5"/>
      <c r="E190" s="5"/>
      <c r="F190" s="6"/>
    </row>
    <row r="191" spans="1:6" ht="27.75" customHeight="1" x14ac:dyDescent="0.4">
      <c r="A191" s="12"/>
      <c r="B191" s="12"/>
      <c r="C191" s="4"/>
      <c r="D191" s="5"/>
      <c r="E191" s="5"/>
      <c r="F191" s="6"/>
    </row>
    <row r="192" spans="1:6" ht="27.75" customHeight="1" x14ac:dyDescent="0.4">
      <c r="A192" s="12"/>
      <c r="B192" s="12"/>
      <c r="C192" s="4"/>
      <c r="D192" s="5"/>
      <c r="E192" s="5"/>
      <c r="F192" s="6"/>
    </row>
    <row r="193" spans="1:6" ht="27.75" customHeight="1" x14ac:dyDescent="0.4">
      <c r="A193" s="12"/>
      <c r="B193" s="12"/>
      <c r="C193" s="4"/>
      <c r="D193" s="5"/>
      <c r="E193" s="5"/>
      <c r="F193" s="6"/>
    </row>
    <row r="194" spans="1:6" ht="27.75" customHeight="1" x14ac:dyDescent="0.4">
      <c r="A194" s="12"/>
      <c r="B194" s="12"/>
      <c r="C194" s="4"/>
      <c r="D194" s="5"/>
      <c r="E194" s="5"/>
      <c r="F194" s="6"/>
    </row>
    <row r="195" spans="1:6" x14ac:dyDescent="0.4">
      <c r="A195" s="12"/>
      <c r="B195" s="12"/>
      <c r="C195" s="4"/>
      <c r="D195" s="5"/>
      <c r="E195" s="5"/>
      <c r="F195" s="6"/>
    </row>
    <row r="196" spans="1:6" x14ac:dyDescent="0.4">
      <c r="A196" s="12"/>
      <c r="B196" s="12"/>
      <c r="C196" s="4"/>
      <c r="D196" s="5"/>
      <c r="E196" s="5"/>
      <c r="F196" s="6"/>
    </row>
    <row r="197" spans="1:6" x14ac:dyDescent="0.4">
      <c r="A197" s="12"/>
      <c r="B197" s="12"/>
      <c r="C197" s="4"/>
      <c r="D197" s="5"/>
      <c r="E197" s="5"/>
      <c r="F197" s="6"/>
    </row>
    <row r="198" spans="1:6" x14ac:dyDescent="0.4">
      <c r="A198" s="12"/>
      <c r="B198" s="12"/>
      <c r="C198" s="4"/>
      <c r="D198" s="5"/>
      <c r="E198" s="5"/>
      <c r="F198" s="6"/>
    </row>
    <row r="199" spans="1:6" x14ac:dyDescent="0.4">
      <c r="A199" s="12"/>
      <c r="B199" s="12"/>
      <c r="C199" s="4"/>
      <c r="D199" s="5"/>
      <c r="E199" s="5"/>
      <c r="F199" s="6"/>
    </row>
    <row r="200" spans="1:6" x14ac:dyDescent="0.4">
      <c r="A200" s="12"/>
      <c r="B200" s="12"/>
      <c r="C200" s="4"/>
      <c r="D200" s="5"/>
      <c r="E200" s="5"/>
      <c r="F200" s="6"/>
    </row>
    <row r="201" spans="1:6" x14ac:dyDescent="0.4">
      <c r="A201" s="12"/>
      <c r="B201" s="12"/>
      <c r="C201" s="4"/>
      <c r="D201" s="5"/>
      <c r="E201" s="5"/>
      <c r="F201" s="6"/>
    </row>
    <row r="202" spans="1:6" x14ac:dyDescent="0.4">
      <c r="A202" s="12"/>
      <c r="B202" s="12"/>
      <c r="C202" s="4"/>
      <c r="D202" s="5"/>
      <c r="E202" s="5"/>
      <c r="F202" s="6"/>
    </row>
    <row r="203" spans="1:6" x14ac:dyDescent="0.4">
      <c r="A203" s="12"/>
      <c r="B203" s="12"/>
      <c r="C203" s="4"/>
      <c r="D203" s="5"/>
      <c r="E203" s="5"/>
      <c r="F203" s="6"/>
    </row>
    <row r="204" spans="1:6" x14ac:dyDescent="0.4">
      <c r="A204" s="12"/>
      <c r="B204" s="12"/>
      <c r="C204" s="4"/>
      <c r="D204" s="5"/>
      <c r="E204" s="5"/>
      <c r="F204" s="6"/>
    </row>
    <row r="205" spans="1:6" x14ac:dyDescent="0.4">
      <c r="A205" s="12"/>
      <c r="B205" s="12"/>
      <c r="C205" s="4"/>
      <c r="D205" s="5"/>
      <c r="E205" s="5"/>
      <c r="F205" s="6"/>
    </row>
    <row r="206" spans="1:6" x14ac:dyDescent="0.4">
      <c r="A206" s="12"/>
      <c r="B206" s="12"/>
      <c r="C206" s="4"/>
      <c r="D206" s="5"/>
      <c r="E206" s="5"/>
      <c r="F206" s="6"/>
    </row>
    <row r="207" spans="1:6" x14ac:dyDescent="0.4">
      <c r="A207" s="12"/>
      <c r="B207" s="12"/>
      <c r="C207" s="4"/>
      <c r="D207" s="5"/>
      <c r="E207" s="5"/>
      <c r="F207" s="6"/>
    </row>
    <row r="208" spans="1:6" x14ac:dyDescent="0.4">
      <c r="A208" s="12"/>
      <c r="B208" s="12"/>
      <c r="C208" s="4"/>
      <c r="D208" s="5"/>
      <c r="E208" s="5"/>
      <c r="F208" s="6"/>
    </row>
    <row r="209" spans="1:6" x14ac:dyDescent="0.4">
      <c r="A209" s="12"/>
      <c r="B209" s="12"/>
      <c r="C209" s="4"/>
      <c r="D209" s="5"/>
      <c r="E209" s="5"/>
      <c r="F209" s="6"/>
    </row>
    <row r="210" spans="1:6" x14ac:dyDescent="0.4">
      <c r="A210" s="12"/>
      <c r="B210" s="12"/>
      <c r="C210" s="4"/>
      <c r="D210" s="5"/>
      <c r="E210" s="5"/>
      <c r="F210" s="6"/>
    </row>
    <row r="211" spans="1:6" x14ac:dyDescent="0.4">
      <c r="A211" s="12"/>
      <c r="B211" s="12"/>
      <c r="C211" s="4"/>
      <c r="D211" s="5"/>
      <c r="E211" s="5"/>
      <c r="F211" s="6"/>
    </row>
    <row r="212" spans="1:6" x14ac:dyDescent="0.4">
      <c r="A212" s="12"/>
      <c r="B212" s="12"/>
      <c r="C212" s="4"/>
      <c r="D212" s="5"/>
      <c r="E212" s="5"/>
      <c r="F212" s="6"/>
    </row>
    <row r="213" spans="1:6" x14ac:dyDescent="0.4">
      <c r="A213" s="12"/>
      <c r="B213" s="12"/>
      <c r="C213" s="4"/>
      <c r="D213" s="5"/>
      <c r="E213" s="5"/>
      <c r="F213" s="6"/>
    </row>
    <row r="214" spans="1:6" x14ac:dyDescent="0.4">
      <c r="A214" s="12"/>
      <c r="B214" s="12"/>
      <c r="C214" s="4"/>
      <c r="D214" s="5"/>
      <c r="E214" s="5"/>
      <c r="F214" s="6"/>
    </row>
    <row r="215" spans="1:6" x14ac:dyDescent="0.4">
      <c r="A215" s="12"/>
      <c r="B215" s="12"/>
      <c r="C215" s="4"/>
      <c r="D215" s="5"/>
      <c r="E215" s="5"/>
      <c r="F215" s="6"/>
    </row>
    <row r="216" spans="1:6" x14ac:dyDescent="0.4">
      <c r="C216" s="4"/>
      <c r="D216" s="5"/>
      <c r="E216" s="5"/>
      <c r="F216" s="6"/>
    </row>
    <row r="217" spans="1:6" x14ac:dyDescent="0.4">
      <c r="C217" s="4"/>
      <c r="D217" s="5"/>
      <c r="E217" s="5"/>
      <c r="F217" s="6"/>
    </row>
    <row r="218" spans="1:6" x14ac:dyDescent="0.4">
      <c r="C218" s="4"/>
      <c r="D218" s="5"/>
      <c r="E218" s="5"/>
      <c r="F218" s="6"/>
    </row>
    <row r="219" spans="1:6" x14ac:dyDescent="0.4">
      <c r="C219" s="4"/>
      <c r="D219" s="5"/>
      <c r="E219" s="5"/>
      <c r="F219" s="6"/>
    </row>
    <row r="220" spans="1:6" x14ac:dyDescent="0.4">
      <c r="C220" s="4"/>
      <c r="D220" s="5"/>
      <c r="E220" s="5"/>
      <c r="F220" s="6"/>
    </row>
    <row r="221" spans="1:6" x14ac:dyDescent="0.4">
      <c r="C221" s="4"/>
      <c r="D221" s="5"/>
      <c r="E221" s="5"/>
      <c r="F221" s="6"/>
    </row>
    <row r="222" spans="1:6" x14ac:dyDescent="0.4">
      <c r="C222" s="4"/>
      <c r="D222" s="5"/>
      <c r="E222" s="5"/>
      <c r="F222" s="6"/>
    </row>
    <row r="223" spans="1:6" x14ac:dyDescent="0.4">
      <c r="C223" s="4"/>
      <c r="D223" s="5"/>
      <c r="E223" s="5"/>
      <c r="F223" s="6"/>
    </row>
    <row r="224" spans="1:6" x14ac:dyDescent="0.4">
      <c r="C224" s="4"/>
      <c r="D224" s="5"/>
      <c r="E224" s="5"/>
      <c r="F224" s="6"/>
    </row>
    <row r="225" spans="3:6" x14ac:dyDescent="0.4">
      <c r="C225" s="4"/>
      <c r="D225" s="5"/>
      <c r="E225" s="5"/>
      <c r="F225" s="6"/>
    </row>
    <row r="226" spans="3:6" x14ac:dyDescent="0.4">
      <c r="C226" s="4"/>
      <c r="D226" s="5"/>
      <c r="E226" s="5"/>
      <c r="F226" s="6"/>
    </row>
    <row r="227" spans="3:6" x14ac:dyDescent="0.4">
      <c r="C227" s="4"/>
      <c r="D227" s="5"/>
      <c r="E227" s="5"/>
      <c r="F227" s="6"/>
    </row>
    <row r="228" spans="3:6" x14ac:dyDescent="0.4">
      <c r="C228" s="4"/>
      <c r="D228" s="5"/>
      <c r="E228" s="5"/>
      <c r="F228" s="6"/>
    </row>
    <row r="229" spans="3:6" x14ac:dyDescent="0.4">
      <c r="C229" s="4"/>
      <c r="D229" s="5"/>
      <c r="E229" s="5"/>
      <c r="F229" s="6"/>
    </row>
    <row r="230" spans="3:6" x14ac:dyDescent="0.4">
      <c r="C230" s="4"/>
      <c r="D230" s="5"/>
      <c r="E230" s="5"/>
      <c r="F230" s="6"/>
    </row>
    <row r="231" spans="3:6" x14ac:dyDescent="0.4">
      <c r="C231" s="4"/>
      <c r="D231" s="5"/>
      <c r="E231" s="5"/>
      <c r="F231" s="6"/>
    </row>
    <row r="232" spans="3:6" x14ac:dyDescent="0.4">
      <c r="C232" s="4"/>
      <c r="D232" s="5"/>
      <c r="E232" s="5"/>
      <c r="F232" s="6"/>
    </row>
    <row r="233" spans="3:6" x14ac:dyDescent="0.4">
      <c r="C233" s="4"/>
      <c r="D233" s="5"/>
      <c r="E233" s="5"/>
      <c r="F233" s="6"/>
    </row>
    <row r="234" spans="3:6" x14ac:dyDescent="0.4">
      <c r="C234" s="4"/>
      <c r="D234" s="5"/>
      <c r="E234" s="5"/>
      <c r="F234" s="6"/>
    </row>
    <row r="235" spans="3:6" x14ac:dyDescent="0.4">
      <c r="C235" s="4"/>
      <c r="D235" s="5"/>
      <c r="E235" s="5"/>
      <c r="F235" s="6"/>
    </row>
    <row r="236" spans="3:6" x14ac:dyDescent="0.4">
      <c r="C236" s="4"/>
      <c r="D236" s="5"/>
      <c r="E236" s="5"/>
      <c r="F236" s="6"/>
    </row>
    <row r="237" spans="3:6" x14ac:dyDescent="0.4">
      <c r="C237" s="4"/>
      <c r="D237" s="5"/>
      <c r="E237" s="5"/>
      <c r="F237" s="6"/>
    </row>
    <row r="238" spans="3:6" x14ac:dyDescent="0.4">
      <c r="C238" s="4"/>
      <c r="D238" s="5"/>
      <c r="E238" s="5"/>
      <c r="F238" s="6"/>
    </row>
    <row r="239" spans="3:6" x14ac:dyDescent="0.4">
      <c r="C239" s="4"/>
      <c r="D239" s="5"/>
      <c r="E239" s="5"/>
      <c r="F239" s="6"/>
    </row>
    <row r="240" spans="3:6" x14ac:dyDescent="0.4">
      <c r="C240" s="4"/>
      <c r="D240" s="5"/>
      <c r="E240" s="5"/>
      <c r="F240" s="6"/>
    </row>
    <row r="241" spans="3:6" x14ac:dyDescent="0.4">
      <c r="C241" s="4"/>
      <c r="D241" s="5"/>
      <c r="E241" s="5"/>
      <c r="F241" s="6"/>
    </row>
    <row r="242" spans="3:6" x14ac:dyDescent="0.4">
      <c r="C242" s="4"/>
      <c r="D242" s="5"/>
      <c r="E242" s="5"/>
      <c r="F242" s="6"/>
    </row>
    <row r="243" spans="3:6" x14ac:dyDescent="0.4">
      <c r="C243" s="4"/>
      <c r="D243" s="5"/>
      <c r="E243" s="5"/>
      <c r="F243" s="6"/>
    </row>
    <row r="244" spans="3:6" x14ac:dyDescent="0.4">
      <c r="C244" s="4"/>
      <c r="D244" s="5"/>
      <c r="E244" s="5"/>
      <c r="F244" s="6"/>
    </row>
    <row r="245" spans="3:6" x14ac:dyDescent="0.4">
      <c r="C245" s="4"/>
      <c r="D245" s="5"/>
      <c r="E245" s="5"/>
      <c r="F245" s="6"/>
    </row>
    <row r="246" spans="3:6" x14ac:dyDescent="0.4">
      <c r="C246" s="4"/>
      <c r="D246" s="5"/>
      <c r="E246" s="5"/>
      <c r="F246" s="6"/>
    </row>
    <row r="247" spans="3:6" x14ac:dyDescent="0.4">
      <c r="C247" s="4"/>
      <c r="D247" s="5"/>
      <c r="E247" s="5"/>
      <c r="F247" s="6"/>
    </row>
    <row r="248" spans="3:6" x14ac:dyDescent="0.4">
      <c r="C248" s="4"/>
      <c r="D248" s="5"/>
      <c r="E248" s="5"/>
      <c r="F248" s="6"/>
    </row>
    <row r="249" spans="3:6" x14ac:dyDescent="0.4">
      <c r="C249" s="4"/>
      <c r="D249" s="5"/>
      <c r="E249" s="5"/>
      <c r="F249" s="6"/>
    </row>
    <row r="250" spans="3:6" x14ac:dyDescent="0.4">
      <c r="C250" s="4"/>
      <c r="D250" s="5"/>
      <c r="E250" s="5"/>
      <c r="F250" s="6"/>
    </row>
    <row r="251" spans="3:6" x14ac:dyDescent="0.4">
      <c r="C251" s="4"/>
      <c r="D251" s="5"/>
      <c r="E251" s="5"/>
      <c r="F251" s="6"/>
    </row>
    <row r="252" spans="3:6" x14ac:dyDescent="0.4">
      <c r="C252" s="4"/>
      <c r="D252" s="5"/>
      <c r="E252" s="5"/>
      <c r="F252" s="6"/>
    </row>
    <row r="253" spans="3:6" x14ac:dyDescent="0.4">
      <c r="C253" s="4"/>
      <c r="D253" s="5"/>
      <c r="E253" s="5"/>
      <c r="F253" s="6"/>
    </row>
    <row r="254" spans="3:6" x14ac:dyDescent="0.4">
      <c r="C254" s="4"/>
      <c r="D254" s="5"/>
      <c r="E254" s="5"/>
      <c r="F254" s="6"/>
    </row>
    <row r="255" spans="3:6" x14ac:dyDescent="0.4">
      <c r="C255" s="4"/>
      <c r="D255" s="5"/>
      <c r="E255" s="5"/>
      <c r="F255" s="6"/>
    </row>
    <row r="256" spans="3:6" x14ac:dyDescent="0.4">
      <c r="C256" s="4"/>
      <c r="D256" s="5"/>
      <c r="E256" s="5"/>
      <c r="F256" s="6"/>
    </row>
    <row r="257" spans="3:6" x14ac:dyDescent="0.4">
      <c r="C257" s="4"/>
      <c r="D257" s="5"/>
      <c r="E257" s="5"/>
      <c r="F257" s="6"/>
    </row>
    <row r="258" spans="3:6" x14ac:dyDescent="0.4">
      <c r="C258" s="4"/>
      <c r="D258" s="5"/>
      <c r="E258" s="5"/>
      <c r="F258" s="6"/>
    </row>
    <row r="259" spans="3:6" x14ac:dyDescent="0.4">
      <c r="C259" s="4"/>
      <c r="D259" s="5"/>
      <c r="E259" s="5"/>
      <c r="F259" s="6"/>
    </row>
    <row r="260" spans="3:6" x14ac:dyDescent="0.4">
      <c r="C260" s="4"/>
      <c r="D260" s="5"/>
      <c r="E260" s="5"/>
      <c r="F260" s="6"/>
    </row>
    <row r="261" spans="3:6" x14ac:dyDescent="0.4">
      <c r="C261" s="4"/>
      <c r="D261" s="5"/>
      <c r="E261" s="5"/>
      <c r="F261" s="6"/>
    </row>
    <row r="262" spans="3:6" x14ac:dyDescent="0.4">
      <c r="C262" s="4"/>
      <c r="D262" s="5"/>
      <c r="E262" s="5"/>
      <c r="F262" s="6"/>
    </row>
    <row r="263" spans="3:6" x14ac:dyDescent="0.4">
      <c r="C263" s="4"/>
      <c r="D263" s="5"/>
      <c r="E263" s="5"/>
      <c r="F263" s="6"/>
    </row>
    <row r="264" spans="3:6" x14ac:dyDescent="0.4">
      <c r="C264" s="4"/>
      <c r="D264" s="5"/>
      <c r="E264" s="5"/>
      <c r="F264" s="6"/>
    </row>
    <row r="265" spans="3:6" x14ac:dyDescent="0.4">
      <c r="C265" s="4"/>
      <c r="D265" s="5"/>
      <c r="E265" s="5"/>
      <c r="F265" s="6"/>
    </row>
    <row r="266" spans="3:6" x14ac:dyDescent="0.4">
      <c r="C266" s="4"/>
      <c r="D266" s="5"/>
      <c r="E266" s="5"/>
      <c r="F266" s="6"/>
    </row>
    <row r="267" spans="3:6" x14ac:dyDescent="0.4">
      <c r="C267" s="4"/>
      <c r="D267" s="5"/>
      <c r="E267" s="5"/>
      <c r="F267" s="6"/>
    </row>
    <row r="268" spans="3:6" x14ac:dyDescent="0.4">
      <c r="C268" s="4"/>
      <c r="D268" s="5"/>
      <c r="E268" s="5"/>
      <c r="F268" s="6"/>
    </row>
    <row r="269" spans="3:6" x14ac:dyDescent="0.4">
      <c r="C269" s="4"/>
      <c r="D269" s="5"/>
      <c r="E269" s="5"/>
      <c r="F269" s="6"/>
    </row>
    <row r="270" spans="3:6" x14ac:dyDescent="0.4">
      <c r="C270" s="4"/>
      <c r="D270" s="5"/>
      <c r="E270" s="5"/>
      <c r="F270" s="6"/>
    </row>
    <row r="271" spans="3:6" x14ac:dyDescent="0.4">
      <c r="C271" s="4"/>
      <c r="D271" s="5"/>
      <c r="E271" s="5"/>
      <c r="F271" s="6"/>
    </row>
    <row r="272" spans="3:6" x14ac:dyDescent="0.4">
      <c r="C272" s="4"/>
      <c r="D272" s="5"/>
      <c r="E272" s="5"/>
      <c r="F272" s="6"/>
    </row>
    <row r="273" spans="3:6" x14ac:dyDescent="0.4">
      <c r="C273" s="4"/>
      <c r="D273" s="5"/>
      <c r="E273" s="5"/>
      <c r="F273" s="6"/>
    </row>
    <row r="274" spans="3:6" x14ac:dyDescent="0.4">
      <c r="C274" s="4"/>
      <c r="D274" s="5"/>
      <c r="E274" s="5"/>
      <c r="F274" s="6"/>
    </row>
    <row r="275" spans="3:6" x14ac:dyDescent="0.4">
      <c r="C275" s="4"/>
      <c r="D275" s="5"/>
      <c r="E275" s="5"/>
      <c r="F275" s="6"/>
    </row>
    <row r="276" spans="3:6" x14ac:dyDescent="0.4">
      <c r="C276" s="4"/>
      <c r="D276" s="5"/>
      <c r="E276" s="5"/>
      <c r="F276" s="6"/>
    </row>
    <row r="277" spans="3:6" x14ac:dyDescent="0.4">
      <c r="C277" s="4"/>
      <c r="D277" s="5"/>
      <c r="E277" s="5"/>
      <c r="F277" s="6"/>
    </row>
    <row r="278" spans="3:6" x14ac:dyDescent="0.4">
      <c r="C278" s="4"/>
      <c r="D278" s="5"/>
      <c r="E278" s="5"/>
      <c r="F278" s="6"/>
    </row>
    <row r="279" spans="3:6" x14ac:dyDescent="0.4">
      <c r="C279" s="4"/>
      <c r="D279" s="5"/>
      <c r="E279" s="5"/>
      <c r="F279" s="6"/>
    </row>
    <row r="280" spans="3:6" x14ac:dyDescent="0.4">
      <c r="C280" s="4"/>
      <c r="D280" s="5"/>
      <c r="E280" s="5"/>
      <c r="F280" s="6"/>
    </row>
    <row r="281" spans="3:6" x14ac:dyDescent="0.4">
      <c r="C281" s="4"/>
      <c r="D281" s="5"/>
      <c r="E281" s="5"/>
      <c r="F281" s="6"/>
    </row>
    <row r="282" spans="3:6" x14ac:dyDescent="0.4">
      <c r="C282" s="4"/>
      <c r="D282" s="5"/>
      <c r="E282" s="5"/>
      <c r="F282" s="6"/>
    </row>
    <row r="283" spans="3:6" x14ac:dyDescent="0.4">
      <c r="C283" s="4"/>
      <c r="D283" s="5"/>
      <c r="E283" s="5"/>
      <c r="F283" s="6"/>
    </row>
    <row r="284" spans="3:6" x14ac:dyDescent="0.4">
      <c r="C284" s="4"/>
      <c r="D284" s="5"/>
      <c r="E284" s="5"/>
      <c r="F284" s="6"/>
    </row>
    <row r="285" spans="3:6" x14ac:dyDescent="0.4">
      <c r="C285" s="4"/>
      <c r="D285" s="5"/>
      <c r="E285" s="5"/>
      <c r="F285" s="6"/>
    </row>
    <row r="286" spans="3:6" x14ac:dyDescent="0.4">
      <c r="C286" s="4"/>
      <c r="D286" s="5"/>
      <c r="E286" s="5"/>
      <c r="F286" s="6"/>
    </row>
    <row r="287" spans="3:6" x14ac:dyDescent="0.4">
      <c r="C287" s="4"/>
      <c r="D287" s="5"/>
      <c r="E287" s="5"/>
      <c r="F287" s="6"/>
    </row>
    <row r="288" spans="3:6" x14ac:dyDescent="0.4">
      <c r="C288" s="4"/>
      <c r="D288" s="5"/>
      <c r="E288" s="5"/>
      <c r="F288" s="6"/>
    </row>
    <row r="289" spans="3:6" x14ac:dyDescent="0.4">
      <c r="C289" s="4"/>
      <c r="D289" s="5"/>
      <c r="E289" s="5"/>
      <c r="F289" s="6"/>
    </row>
    <row r="290" spans="3:6" x14ac:dyDescent="0.4">
      <c r="C290" s="4"/>
      <c r="D290" s="5"/>
      <c r="E290" s="5"/>
      <c r="F290" s="6"/>
    </row>
    <row r="291" spans="3:6" x14ac:dyDescent="0.4">
      <c r="C291" s="4"/>
      <c r="D291" s="5"/>
      <c r="E291" s="5"/>
      <c r="F291" s="6"/>
    </row>
    <row r="292" spans="3:6" x14ac:dyDescent="0.4">
      <c r="C292" s="4"/>
      <c r="D292" s="5"/>
      <c r="E292" s="5"/>
      <c r="F292" s="6"/>
    </row>
    <row r="293" spans="3:6" x14ac:dyDescent="0.4">
      <c r="C293" s="4"/>
      <c r="D293" s="5"/>
      <c r="E293" s="5"/>
      <c r="F293" s="6"/>
    </row>
    <row r="294" spans="3:6" x14ac:dyDescent="0.4">
      <c r="C294" s="7"/>
      <c r="D294" s="8"/>
      <c r="E294" s="8"/>
      <c r="F294" s="9"/>
    </row>
  </sheetData>
  <sortState xmlns:xlrd2="http://schemas.microsoft.com/office/spreadsheetml/2017/richdata2" ref="A2:H85">
    <sortCondition ref="D2:D8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令和08年 </vt:lpstr>
      <vt:lpstr>令和07年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慶次 土居</dc:creator>
  <cp:lastModifiedBy>新 田中</cp:lastModifiedBy>
  <dcterms:created xsi:type="dcterms:W3CDTF">2025-09-02T01:50:15Z</dcterms:created>
  <dcterms:modified xsi:type="dcterms:W3CDTF">2026-08-24T11:27:41Z</dcterms:modified>
</cp:coreProperties>
</file>