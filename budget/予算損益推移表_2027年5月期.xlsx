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予算損益推移表" sheetId="1" state="visible" r:id="rId3"/>
    <sheet name="前提条件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WenQuanYi Zen Hei"/>
            <family val="2"/>
          </rPr>
          <t xml:space="preserve">予算月額＝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月実績の平均</t>
        </r>
      </text>
    </comment>
    <comment ref="A16" authorId="0">
      <text>
        <r>
          <rPr>
            <sz val="10"/>
            <rFont val="WenQuanYi Zen Hei"/>
            <family val="2"/>
          </rPr>
          <t xml:space="preserve">既存従業員分。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WenQuanYi Zen Hei"/>
            <family val="2"/>
          </rPr>
          <t xml:space="preserve">月</t>
        </r>
        <r>
          <rPr>
            <sz val="10"/>
            <rFont val="Arial"/>
            <family val="2"/>
          </rPr>
          <t xml:space="preserve">50</t>
        </r>
        <r>
          <rPr>
            <sz val="10"/>
            <rFont val="WenQuanYi Zen Hei"/>
            <family val="2"/>
          </rPr>
          <t xml:space="preserve">万円（前期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WenQuanYi Zen Hei"/>
            <family val="2"/>
          </rPr>
          <t xml:space="preserve">月実績）・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月</t>
        </r>
        <r>
          <rPr>
            <sz val="10"/>
            <rFont val="Arial"/>
            <family val="2"/>
          </rPr>
          <t xml:space="preserve">40</t>
        </r>
        <r>
          <rPr>
            <sz val="10"/>
            <rFont val="WenQuanYi Zen Hei"/>
            <family val="2"/>
          </rPr>
          <t xml:space="preserve">万円（当期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月実績）。新規採用者分は前提条件で設定</t>
        </r>
      </text>
    </comment>
    <comment ref="A17" authorId="0">
      <text>
        <r>
          <rPr>
            <sz val="10"/>
            <rFont val="WenQuanYi Zen Hei"/>
            <family val="2"/>
          </rPr>
          <t xml:space="preserve">既存分＝前提条件の月額＋賞与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社会保険料率（概算）</t>
        </r>
      </text>
    </comment>
    <comment ref="A19" authorId="0">
      <text>
        <r>
          <rPr>
            <sz val="10"/>
            <rFont val="WenQuanYi Zen Hei"/>
            <family val="2"/>
          </rPr>
          <t xml:space="preserve">予算月額＝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月実績の平均</t>
        </r>
      </text>
    </comment>
    <comment ref="A21" authorId="0">
      <text>
        <r>
          <rPr>
            <sz val="10"/>
            <rFont val="WenQuanYi Zen Hei"/>
            <family val="2"/>
          </rPr>
          <t xml:space="preserve">予算月額＝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月実績の平均</t>
        </r>
      </text>
    </comment>
    <comment ref="A22" authorId="0">
      <text>
        <r>
          <rPr>
            <sz val="10"/>
            <rFont val="WenQuanYi Zen Hei"/>
            <family val="2"/>
          </rPr>
          <t xml:space="preserve">予算月額＝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月実績の平均</t>
        </r>
      </text>
    </comment>
    <comment ref="A23" authorId="0">
      <text>
        <r>
          <rPr>
            <sz val="10"/>
            <rFont val="WenQuanYi Zen Hei"/>
            <family val="2"/>
          </rPr>
          <t xml:space="preserve">予算月額＝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月実績の平均</t>
        </r>
      </text>
    </comment>
    <comment ref="A24" authorId="0">
      <text>
        <r>
          <rPr>
            <sz val="10"/>
            <rFont val="WenQuanYi Zen Hei"/>
            <family val="2"/>
          </rPr>
          <t xml:space="preserve">予算月額＝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月実績の平均</t>
        </r>
      </text>
    </comment>
    <comment ref="A25" authorId="0">
      <text>
        <r>
          <rPr>
            <sz val="10"/>
            <rFont val="WenQuanYi Zen Hei"/>
            <family val="2"/>
          </rPr>
          <t xml:space="preserve">予算月額＝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月実績の平均</t>
        </r>
      </text>
    </comment>
    <comment ref="A26" authorId="0">
      <text>
        <r>
          <rPr>
            <sz val="10"/>
            <rFont val="WenQuanYi Zen Hei"/>
            <family val="2"/>
          </rPr>
          <t xml:space="preserve">予算月額＝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月実績の平均</t>
        </r>
      </text>
    </comment>
    <comment ref="A29" authorId="0">
      <text>
        <r>
          <rPr>
            <sz val="10"/>
            <rFont val="WenQuanYi Zen Hei"/>
            <family val="2"/>
          </rPr>
          <t xml:space="preserve">前期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WenQuanYi Zen Hei"/>
            <family val="2"/>
          </rPr>
          <t xml:space="preserve">月</t>
        </r>
        <r>
          <rPr>
            <sz val="10"/>
            <rFont val="Arial"/>
            <family val="2"/>
          </rPr>
          <t xml:space="preserve">171,900</t>
        </r>
        <r>
          <rPr>
            <sz val="10"/>
            <rFont val="WenQuanYi Zen Hei"/>
            <family val="2"/>
          </rPr>
          <t xml:space="preserve">円、当期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WenQuanYi Zen Hei"/>
            <family val="2"/>
          </rPr>
          <t xml:space="preserve">月実績に合わせて計上</t>
        </r>
      </text>
    </comment>
    <comment ref="A30" authorId="0">
      <text>
        <r>
          <rPr>
            <sz val="10"/>
            <rFont val="WenQuanYi Zen Hei"/>
            <family val="2"/>
          </rPr>
          <t xml:space="preserve">前期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WenQuanYi Zen Hei"/>
            <family val="2"/>
          </rPr>
          <t xml:space="preserve">月</t>
        </r>
        <r>
          <rPr>
            <sz val="10"/>
            <rFont val="Arial"/>
            <family val="2"/>
          </rPr>
          <t xml:space="preserve">26,900</t>
        </r>
        <r>
          <rPr>
            <sz val="10"/>
            <rFont val="WenQuanYi Zen Hei"/>
            <family val="2"/>
          </rPr>
          <t xml:space="preserve">円・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月</t>
        </r>
        <r>
          <rPr>
            <sz val="10"/>
            <rFont val="Arial"/>
            <family val="2"/>
          </rPr>
          <t xml:space="preserve">36,000</t>
        </r>
        <r>
          <rPr>
            <sz val="10"/>
            <rFont val="WenQuanYi Zen Hei"/>
            <family val="2"/>
          </rPr>
          <t xml:space="preserve">円の実績に合わせて計上</t>
        </r>
      </text>
    </comment>
    <comment ref="A31" authorId="0">
      <text>
        <r>
          <rPr>
            <sz val="10"/>
            <rFont val="WenQuanYi Zen Hei"/>
            <family val="2"/>
          </rPr>
          <t xml:space="preserve">予算月額＝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月実績の平均</t>
        </r>
      </text>
    </comment>
    <comment ref="A32" authorId="0">
      <text>
        <r>
          <rPr>
            <sz val="10"/>
            <rFont val="WenQuanYi Zen Hei"/>
            <family val="2"/>
          </rPr>
          <t xml:space="preserve">予算月額＝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月実績の平均</t>
        </r>
      </text>
    </comment>
    <comment ref="A33" authorId="0">
      <text>
        <r>
          <rPr>
            <sz val="10"/>
            <rFont val="WenQuanYi Zen Hei"/>
            <family val="2"/>
          </rPr>
          <t xml:space="preserve">予算月額＝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月実績の平均</t>
        </r>
      </text>
    </comment>
    <comment ref="A34" authorId="0">
      <text>
        <r>
          <rPr>
            <sz val="10"/>
            <rFont val="Arial"/>
            <family val="2"/>
          </rPr>
          <t xml:space="preserve">2027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月期は決算整理で一括計上（</t>
        </r>
        <r>
          <rPr>
            <sz val="10"/>
            <rFont val="Arial"/>
            <family val="2"/>
          </rPr>
          <t xml:space="preserve">MF</t>
        </r>
        <r>
          <rPr>
            <sz val="10"/>
            <rFont val="WenQuanYi Zen Hei"/>
            <family val="2"/>
          </rPr>
          <t xml:space="preserve">計上済</t>
        </r>
        <r>
          <rPr>
            <sz val="10"/>
            <rFont val="Arial"/>
            <family val="2"/>
          </rPr>
          <t xml:space="preserve">1,259,910</t>
        </r>
        <r>
          <rPr>
            <sz val="10"/>
            <rFont val="WenQuanYi Zen Hei"/>
            <family val="2"/>
          </rPr>
          <t xml:space="preserve">円）。</t>
        </r>
        <r>
          <rPr>
            <sz val="10"/>
            <rFont val="Arial"/>
            <family val="2"/>
          </rPr>
          <t xml:space="preserve">2028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月期は月割で計上</t>
        </r>
      </text>
    </comment>
    <comment ref="A35" authorId="0">
      <text>
        <r>
          <rPr>
            <sz val="10"/>
            <rFont val="WenQuanYi Zen Hei"/>
            <family val="2"/>
          </rPr>
          <t xml:space="preserve">予算月額＝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月実績の平均</t>
        </r>
      </text>
    </comment>
    <comment ref="A39" authorId="0">
      <text>
        <r>
          <rPr>
            <sz val="10"/>
            <rFont val="WenQuanYi Zen Hei"/>
            <family val="2"/>
          </rPr>
          <t xml:space="preserve">予算月額＝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月実績の平均</t>
        </r>
      </text>
    </comment>
    <comment ref="A40" authorId="0">
      <text>
        <r>
          <rPr>
            <sz val="10"/>
            <rFont val="WenQuanYi Zen Hei"/>
            <family val="2"/>
          </rPr>
          <t xml:space="preserve">当期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月実績に合わせて計上</t>
        </r>
      </text>
    </comment>
    <comment ref="A47" authorId="0">
      <text>
        <r>
          <rPr>
            <sz val="10"/>
            <rFont val="Arial"/>
            <family val="2"/>
          </rPr>
          <t xml:space="preserve">2027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月期は決算時に概算計上（税引前利益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実効負担率、最低は均等割）。</t>
        </r>
        <r>
          <rPr>
            <sz val="10"/>
            <rFont val="Arial"/>
            <family val="2"/>
          </rPr>
          <t xml:space="preserve">2028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月期の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月は期末計上のため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WenQuanYi Zen Hei"/>
            <family val="2"/>
          </rPr>
          <t xml:space="preserve">円</t>
        </r>
      </text>
    </comment>
    <comment ref="A54" authorId="0">
      <text>
        <r>
          <rPr>
            <sz val="10"/>
            <rFont val="WenQuanYi Zen Hei"/>
            <family val="2"/>
          </rPr>
          <t xml:space="preserve">通り抜け額：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・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WenQuanYi Zen Hei"/>
            <family val="2"/>
          </rPr>
          <t xml:space="preserve">月</t>
        </r>
        <r>
          <rPr>
            <sz val="10"/>
            <rFont val="Arial"/>
            <family val="2"/>
          </rPr>
          <t xml:space="preserve">56</t>
        </r>
        <r>
          <rPr>
            <sz val="10"/>
            <rFont val="WenQuanYi Zen Hei"/>
            <family val="2"/>
          </rPr>
          <t xml:space="preserve">万円、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WenQuanYi Zen Hei"/>
            <family val="2"/>
          </rPr>
          <t xml:space="preserve">月以降</t>
        </r>
        <r>
          <rPr>
            <sz val="10"/>
            <rFont val="Arial"/>
            <family val="2"/>
          </rPr>
          <t xml:space="preserve">76</t>
        </r>
        <r>
          <rPr>
            <sz val="10"/>
            <rFont val="WenQuanYi Zen Hei"/>
            <family val="2"/>
          </rPr>
          <t xml:space="preserve">万円（役員報酬・家賃と同額で相殺）</t>
        </r>
      </text>
    </comment>
    <comment ref="F17" authorId="0">
      <text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月は会計上まだ未計上（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WenQuanYi Zen Hei"/>
            <family val="2"/>
          </rPr>
          <t xml:space="preserve">円）。実際は約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WenQuanYi Zen Hei"/>
            <family val="2"/>
          </rPr>
          <t xml:space="preserve">万円発生見込み</t>
        </r>
      </text>
    </comment>
  </commentList>
</comments>
</file>

<file path=xl/sharedStrings.xml><?xml version="1.0" encoding="utf-8"?>
<sst xmlns="http://schemas.openxmlformats.org/spreadsheetml/2006/main" count="129" uniqueCount="108">
  <si>
    <r>
      <rPr>
        <b val="true"/>
        <sz val="13"/>
        <rFont val="WenQuanYi Zen Hei"/>
        <family val="2"/>
      </rPr>
      <t xml:space="preserve">株式会社アカウントオフィス　予算損益推移表（</t>
    </r>
    <r>
      <rPr>
        <b val="true"/>
        <sz val="13"/>
        <rFont val="Arial"/>
        <family val="0"/>
        <charset val="1"/>
      </rPr>
      <t xml:space="preserve">2027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WenQuanYi Zen Hei"/>
        <family val="2"/>
      </rPr>
      <t xml:space="preserve">月期／</t>
    </r>
    <r>
      <rPr>
        <b val="true"/>
        <sz val="13"/>
        <rFont val="Arial"/>
        <family val="0"/>
        <charset val="1"/>
      </rPr>
      <t xml:space="preserve">2028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WenQuanYi Zen Hei"/>
        <family val="2"/>
      </rPr>
      <t xml:space="preserve">月期 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月まで）</t>
    </r>
  </si>
  <si>
    <r>
      <rPr>
        <sz val="10"/>
        <color rgb="FF595959"/>
        <rFont val="WenQuanYi Zen Hei"/>
        <family val="2"/>
      </rPr>
      <t xml:space="preserve">単位：円（税抜）　新規採用：月給</t>
    </r>
    <r>
      <rPr>
        <sz val="10"/>
        <color rgb="FF595959"/>
        <rFont val="Arial"/>
        <family val="0"/>
        <charset val="1"/>
      </rPr>
      <t xml:space="preserve">280,000</t>
    </r>
    <r>
      <rPr>
        <sz val="10"/>
        <color rgb="FF595959"/>
        <rFont val="WenQuanYi Zen Hei"/>
        <family val="2"/>
      </rPr>
      <t xml:space="preserve">円・</t>
    </r>
    <r>
      <rPr>
        <sz val="10"/>
        <color rgb="FF595959"/>
        <rFont val="Arial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11</t>
    </r>
    <r>
      <rPr>
        <sz val="10"/>
        <color rgb="FF595959"/>
        <rFont val="WenQuanYi Zen Hei"/>
        <family val="2"/>
      </rPr>
      <t xml:space="preserve">月から（前提条件シートで変更可）</t>
    </r>
  </si>
  <si>
    <t xml:space="preserve">実績</t>
  </si>
  <si>
    <t xml:space="preserve">予算</t>
  </si>
  <si>
    <r>
      <rPr>
        <b val="true"/>
        <sz val="10"/>
        <color rgb="FFFFFFFF"/>
        <rFont val="Arial"/>
        <family val="0"/>
        <charset val="1"/>
      </rPr>
      <t xml:space="preserve">2027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月期</t>
    </r>
  </si>
  <si>
    <t xml:space="preserve">前期実績</t>
  </si>
  <si>
    <t xml:space="preserve">前期比</t>
  </si>
  <si>
    <r>
      <rPr>
        <b val="true"/>
        <sz val="10"/>
        <color rgb="FFFFFFFF"/>
        <rFont val="Arial"/>
        <family val="0"/>
        <charset val="1"/>
      </rPr>
      <t xml:space="preserve">2028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月期</t>
    </r>
  </si>
  <si>
    <t xml:space="preserve">勘定科目</t>
  </si>
  <si>
    <t xml:space="preserve">決算整理</t>
  </si>
  <si>
    <t xml:space="preserve">通期合計</t>
  </si>
  <si>
    <r>
      <rPr>
        <b val="true"/>
        <sz val="10"/>
        <color rgb="FFFFFFFF"/>
        <rFont val="Arial"/>
        <family val="0"/>
        <charset val="1"/>
      </rPr>
      <t xml:space="preserve">2026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月期</t>
    </r>
  </si>
  <si>
    <t xml:space="preserve">増減</t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</si>
  <si>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月計</t>
    </r>
  </si>
  <si>
    <t xml:space="preserve">【売上高】</t>
  </si>
  <si>
    <t xml:space="preserve">コンサルティング収入</t>
  </si>
  <si>
    <t xml:space="preserve">保険代理店収入</t>
  </si>
  <si>
    <t xml:space="preserve">売上高合計</t>
  </si>
  <si>
    <t xml:space="preserve">売上原価</t>
  </si>
  <si>
    <t xml:space="preserve">売上総利益</t>
  </si>
  <si>
    <t xml:space="preserve">【販売費及び一般管理費】</t>
  </si>
  <si>
    <t xml:space="preserve">役員報酬</t>
  </si>
  <si>
    <t xml:space="preserve">給料賃金</t>
  </si>
  <si>
    <t xml:space="preserve">給料賃金（新規採用）</t>
  </si>
  <si>
    <t xml:space="preserve">賞与</t>
  </si>
  <si>
    <t xml:space="preserve">法定福利費</t>
  </si>
  <si>
    <t xml:space="preserve">法定福利費（新規採用）</t>
  </si>
  <si>
    <t xml:space="preserve">業務委託料</t>
  </si>
  <si>
    <t xml:space="preserve">広告宣伝費</t>
  </si>
  <si>
    <t xml:space="preserve">接待交際費</t>
  </si>
  <si>
    <t xml:space="preserve">旅費交通費</t>
  </si>
  <si>
    <t xml:space="preserve">通信費</t>
  </si>
  <si>
    <t xml:space="preserve">修繕費</t>
  </si>
  <si>
    <t xml:space="preserve">備品・消耗品費</t>
  </si>
  <si>
    <t xml:space="preserve">車両費</t>
  </si>
  <si>
    <t xml:space="preserve">リース料</t>
  </si>
  <si>
    <t xml:space="preserve">地代家賃</t>
  </si>
  <si>
    <t xml:space="preserve">保険料</t>
  </si>
  <si>
    <t xml:space="preserve">租税公課</t>
  </si>
  <si>
    <t xml:space="preserve">支払手数料</t>
  </si>
  <si>
    <t xml:space="preserve">会議費</t>
  </si>
  <si>
    <t xml:space="preserve">新聞図書費</t>
  </si>
  <si>
    <t xml:space="preserve">減価償却費</t>
  </si>
  <si>
    <t xml:space="preserve">雑費</t>
  </si>
  <si>
    <t xml:space="preserve">販売費及び一般管理費合計</t>
  </si>
  <si>
    <t xml:space="preserve">営業利益</t>
  </si>
  <si>
    <t xml:space="preserve">【営業外損益】</t>
  </si>
  <si>
    <t xml:space="preserve">受取利息</t>
  </si>
  <si>
    <t xml:space="preserve">受取配当金</t>
  </si>
  <si>
    <t xml:space="preserve">雑収入</t>
  </si>
  <si>
    <t xml:space="preserve">営業外収益合計</t>
  </si>
  <si>
    <t xml:space="preserve">支払利息</t>
  </si>
  <si>
    <t xml:space="preserve">営業外費用合計</t>
  </si>
  <si>
    <t xml:space="preserve">経常利益</t>
  </si>
  <si>
    <t xml:space="preserve">税引前当期純利益</t>
  </si>
  <si>
    <t xml:space="preserve">法人税等</t>
  </si>
  <si>
    <t xml:space="preserve">当期純利益</t>
  </si>
  <si>
    <t xml:space="preserve">経常利益 期首からの累計</t>
  </si>
  <si>
    <t xml:space="preserve">【参考】新規採用の影響</t>
  </si>
  <si>
    <t xml:space="preserve">新規採用コスト（給与＋賞与＋法定福利費）</t>
  </si>
  <si>
    <t xml:space="preserve">採用しなかった場合の経常利益</t>
  </si>
  <si>
    <r>
      <rPr>
        <sz val="10"/>
        <rFont val="WenQuanYi Zen Hei"/>
        <family val="2"/>
      </rPr>
      <t xml:space="preserve">実質売上（リベ大経由の通り抜け</t>
    </r>
    <r>
      <rPr>
        <sz val="10"/>
        <rFont val="Arial"/>
        <family val="0"/>
        <charset val="1"/>
      </rPr>
      <t xml:space="preserve">76</t>
    </r>
    <r>
      <rPr>
        <sz val="10"/>
        <rFont val="WenQuanYi Zen Hei"/>
        <family val="2"/>
      </rPr>
      <t xml:space="preserve">万円を除く）</t>
    </r>
  </si>
  <si>
    <t xml:space="preserve">前提条件（黄色セル＝変更可能な入力値）</t>
  </si>
  <si>
    <t xml:space="preserve">■ 新規採用</t>
  </si>
  <si>
    <t xml:space="preserve">採用開始月</t>
  </si>
  <si>
    <r>
      <rPr>
        <sz val="10"/>
        <color rgb="FF595959"/>
        <rFont val="WenQuanYi Zen Hei"/>
        <family val="2"/>
      </rPr>
      <t xml:space="preserve">ユーザー指定（</t>
    </r>
    <r>
      <rPr>
        <sz val="10"/>
        <color rgb="FF595959"/>
        <rFont val="Arial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11</t>
    </r>
    <r>
      <rPr>
        <sz val="10"/>
        <color rgb="FF595959"/>
        <rFont val="WenQuanYi Zen Hei"/>
        <family val="2"/>
      </rPr>
      <t xml:space="preserve">月）。月の</t>
    </r>
    <r>
      <rPr>
        <sz val="10"/>
        <color rgb="FF595959"/>
        <rFont val="Arial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日で入力</t>
    </r>
  </si>
  <si>
    <t xml:space="preserve">新規採用者 月給</t>
  </si>
  <si>
    <t xml:space="preserve">ユーザー指定</t>
  </si>
  <si>
    <r>
      <rPr>
        <sz val="10"/>
        <rFont val="WenQuanYi Zen Hei"/>
        <family val="2"/>
      </rPr>
      <t xml:space="preserve">新規採用者 賞与（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回あたり）</t>
    </r>
  </si>
  <si>
    <r>
      <rPr>
        <sz val="10"/>
        <color rgb="FF595959"/>
        <rFont val="WenQuanYi Zen Hei"/>
        <family val="2"/>
      </rPr>
      <t xml:space="preserve">未定のため</t>
    </r>
    <r>
      <rPr>
        <sz val="10"/>
        <color rgb="FF595959"/>
        <rFont val="Arial"/>
        <family val="0"/>
        <charset val="1"/>
      </rPr>
      <t xml:space="preserve">0</t>
    </r>
    <r>
      <rPr>
        <sz val="10"/>
        <color rgb="FF595959"/>
        <rFont val="WenQuanYi Zen Hei"/>
        <family val="2"/>
      </rPr>
      <t xml:space="preserve">円。支給する場合は入力（</t>
    </r>
    <r>
      <rPr>
        <sz val="10"/>
        <color rgb="FF595959"/>
        <rFont val="Arial"/>
        <family val="0"/>
        <charset val="1"/>
      </rPr>
      <t xml:space="preserve">12</t>
    </r>
    <r>
      <rPr>
        <sz val="10"/>
        <color rgb="FF595959"/>
        <rFont val="WenQuanYi Zen Hei"/>
        <family val="2"/>
      </rPr>
      <t xml:space="preserve">月・</t>
    </r>
    <r>
      <rPr>
        <sz val="10"/>
        <color rgb="FF595959"/>
        <rFont val="Arial"/>
        <family val="0"/>
        <charset val="1"/>
      </rPr>
      <t xml:space="preserve">6</t>
    </r>
    <r>
      <rPr>
        <sz val="10"/>
        <color rgb="FF595959"/>
        <rFont val="WenQuanYi Zen Hei"/>
        <family val="2"/>
      </rPr>
      <t xml:space="preserve">月に計上）</t>
    </r>
  </si>
  <si>
    <t xml:space="preserve">■ 会社負担の社会保険料率（概算・要確認）</t>
  </si>
  <si>
    <t xml:space="preserve">健康保険（事業主負担）</t>
  </si>
  <si>
    <r>
      <rPr>
        <sz val="10"/>
        <color rgb="FF595959"/>
        <rFont val="WenQuanYi Zen Hei"/>
        <family val="2"/>
      </rPr>
      <t xml:space="preserve">協会けんぽ大阪の概算（全体約</t>
    </r>
    <r>
      <rPr>
        <sz val="10"/>
        <color rgb="FF595959"/>
        <rFont val="Arial"/>
        <family val="0"/>
        <charset val="1"/>
      </rPr>
      <t xml:space="preserve">10.2%</t>
    </r>
    <r>
      <rPr>
        <sz val="10"/>
        <color rgb="FF595959"/>
        <rFont val="WenQuanYi Zen Hei"/>
        <family val="2"/>
      </rPr>
      <t xml:space="preserve">の折半）。</t>
    </r>
    <r>
      <rPr>
        <sz val="10"/>
        <color rgb="FF595959"/>
        <rFont val="Arial"/>
        <family val="0"/>
        <charset val="1"/>
      </rPr>
      <t xml:space="preserve">40</t>
    </r>
    <r>
      <rPr>
        <sz val="10"/>
        <color rgb="FF595959"/>
        <rFont val="WenQuanYi Zen Hei"/>
        <family val="2"/>
      </rPr>
      <t xml:space="preserve">歳以上は介護保険分が加算</t>
    </r>
  </si>
  <si>
    <t xml:space="preserve">厚生年金（事業主負担）</t>
  </si>
  <si>
    <r>
      <rPr>
        <sz val="10"/>
        <color rgb="FF595959"/>
        <rFont val="Arial"/>
        <family val="0"/>
        <charset val="1"/>
      </rPr>
      <t xml:space="preserve">18.3%</t>
    </r>
    <r>
      <rPr>
        <sz val="10"/>
        <color rgb="FF595959"/>
        <rFont val="WenQuanYi Zen Hei"/>
        <family val="2"/>
      </rPr>
      <t xml:space="preserve">の折半</t>
    </r>
  </si>
  <si>
    <t xml:space="preserve">子ども・子育て支援金（事業主負担）</t>
  </si>
  <si>
    <r>
      <rPr>
        <sz val="10"/>
        <color rgb="FF595959"/>
        <rFont val="Arial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月分から。概算</t>
    </r>
  </si>
  <si>
    <t xml:space="preserve">子ども・子育て拠出金</t>
  </si>
  <si>
    <t xml:space="preserve">事業主全額負担</t>
  </si>
  <si>
    <t xml:space="preserve">雇用保険（事業主負担）</t>
  </si>
  <si>
    <t xml:space="preserve">一般の事業の概算。年度の料率を要確認</t>
  </si>
  <si>
    <t xml:space="preserve">労災保険</t>
  </si>
  <si>
    <t xml:space="preserve">その他の各種事業の概算</t>
  </si>
  <si>
    <t xml:space="preserve">合計（新規採用者の法定福利費率）</t>
  </si>
  <si>
    <r>
      <rPr>
        <sz val="10"/>
        <color rgb="FF595959"/>
        <rFont val="WenQuanYi Zen Hei"/>
        <family val="2"/>
      </rPr>
      <t xml:space="preserve">月給</t>
    </r>
    <r>
      <rPr>
        <sz val="10"/>
        <color rgb="FF595959"/>
        <rFont val="Arial"/>
        <family val="0"/>
        <charset val="1"/>
      </rPr>
      <t xml:space="preserve">×</t>
    </r>
    <r>
      <rPr>
        <sz val="10"/>
        <color rgb="FF595959"/>
        <rFont val="WenQuanYi Zen Hei"/>
        <family val="2"/>
      </rPr>
      <t xml:space="preserve">この率を「法定福利費（新規採用）」に計上。標準報酬月額＝月給と仮定</t>
    </r>
  </si>
  <si>
    <t xml:space="preserve">■ 既存の固定費（予算月額）</t>
  </si>
  <si>
    <r>
      <rPr>
        <sz val="10"/>
        <color rgb="FF595959"/>
        <rFont val="Arial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月実績。うち</t>
    </r>
    <r>
      <rPr>
        <sz val="10"/>
        <color rgb="FF595959"/>
        <rFont val="Arial"/>
        <family val="0"/>
        <charset val="1"/>
      </rPr>
      <t xml:space="preserve">76</t>
    </r>
    <r>
      <rPr>
        <sz val="10"/>
        <color rgb="FF595959"/>
        <rFont val="WenQuanYi Zen Hei"/>
        <family val="2"/>
      </rPr>
      <t xml:space="preserve">万円はリベ大税理士法人経由の役員報酬</t>
    </r>
    <r>
      <rPr>
        <sz val="10"/>
        <color rgb="FF595959"/>
        <rFont val="Arial"/>
        <family val="0"/>
        <charset val="1"/>
      </rPr>
      <t xml:space="preserve">60</t>
    </r>
    <r>
      <rPr>
        <sz val="10"/>
        <color rgb="FF595959"/>
        <rFont val="WenQuanYi Zen Hei"/>
        <family val="2"/>
      </rPr>
      <t xml:space="preserve">万円・家賃</t>
    </r>
    <r>
      <rPr>
        <sz val="10"/>
        <color rgb="FF595959"/>
        <rFont val="Arial"/>
        <family val="0"/>
        <charset val="1"/>
      </rPr>
      <t xml:space="preserve">16</t>
    </r>
    <r>
      <rPr>
        <sz val="10"/>
        <color rgb="FF595959"/>
        <rFont val="WenQuanYi Zen Hei"/>
        <family val="2"/>
      </rPr>
      <t xml:space="preserve">万円と相殺される通り抜け</t>
    </r>
  </si>
  <si>
    <r>
      <rPr>
        <sz val="10"/>
        <color rgb="FF595959"/>
        <rFont val="Arial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月実績（会社支払</t>
    </r>
    <r>
      <rPr>
        <sz val="10"/>
        <color rgb="FF595959"/>
        <rFont val="Arial"/>
        <family val="0"/>
        <charset val="1"/>
      </rPr>
      <t xml:space="preserve">85</t>
    </r>
    <r>
      <rPr>
        <sz val="10"/>
        <color rgb="FF595959"/>
        <rFont val="WenQuanYi Zen Hei"/>
        <family val="2"/>
      </rPr>
      <t xml:space="preserve">万円＋リベ大経由</t>
    </r>
    <r>
      <rPr>
        <sz val="10"/>
        <color rgb="FF595959"/>
        <rFont val="Arial"/>
        <family val="0"/>
        <charset val="1"/>
      </rPr>
      <t xml:space="preserve">60</t>
    </r>
    <r>
      <rPr>
        <sz val="10"/>
        <color rgb="FF595959"/>
        <rFont val="WenQuanYi Zen Hei"/>
        <family val="2"/>
      </rPr>
      <t xml:space="preserve">万円）</t>
    </r>
  </si>
  <si>
    <t xml:space="preserve">給料賃金（既存）</t>
  </si>
  <si>
    <r>
      <rPr>
        <sz val="10"/>
        <color rgb="FF595959"/>
        <rFont val="Arial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月実績</t>
    </r>
  </si>
  <si>
    <t xml:space="preserve">法定福利費（既存）</t>
  </si>
  <si>
    <r>
      <rPr>
        <sz val="10"/>
        <color rgb="FF595959"/>
        <rFont val="Arial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9</t>
    </r>
    <r>
      <rPr>
        <sz val="10"/>
        <color rgb="FF595959"/>
        <rFont val="WenQuanYi Zen Hei"/>
        <family val="2"/>
      </rPr>
      <t xml:space="preserve">月実績（</t>
    </r>
    <r>
      <rPr>
        <sz val="10"/>
        <color rgb="FF595959"/>
        <rFont val="Arial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月は未計上のため</t>
    </r>
    <r>
      <rPr>
        <sz val="10"/>
        <color rgb="FF595959"/>
        <rFont val="Arial"/>
        <family val="0"/>
        <charset val="1"/>
      </rPr>
      <t xml:space="preserve">9</t>
    </r>
    <r>
      <rPr>
        <sz val="10"/>
        <color rgb="FF595959"/>
        <rFont val="WenQuanYi Zen Hei"/>
        <family val="2"/>
      </rPr>
      <t xml:space="preserve">月を採用）。役員報酬の増額に伴う随時改定で増える可能性あり</t>
    </r>
  </si>
  <si>
    <r>
      <rPr>
        <sz val="10"/>
        <color rgb="FF595959"/>
        <rFont val="Arial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月実績（</t>
    </r>
    <r>
      <rPr>
        <sz val="10"/>
        <color rgb="FF595959"/>
        <rFont val="Arial"/>
        <family val="0"/>
        <charset val="1"/>
      </rPr>
      <t xml:space="preserve">UR</t>
    </r>
    <r>
      <rPr>
        <sz val="10"/>
        <color rgb="FF595959"/>
        <rFont val="WenQuanYi Zen Hei"/>
        <family val="2"/>
      </rPr>
      <t xml:space="preserve">社宅</t>
    </r>
    <r>
      <rPr>
        <sz val="10"/>
        <color rgb="FF595959"/>
        <rFont val="Arial"/>
        <family val="0"/>
        <charset val="1"/>
      </rPr>
      <t xml:space="preserve">196,200</t>
    </r>
    <r>
      <rPr>
        <sz val="10"/>
        <color rgb="FF595959"/>
        <rFont val="WenQuanYi Zen Hei"/>
        <family val="2"/>
      </rPr>
      <t xml:space="preserve">＋駐車場</t>
    </r>
    <r>
      <rPr>
        <sz val="10"/>
        <color rgb="FF595959"/>
        <rFont val="Arial"/>
        <family val="0"/>
        <charset val="1"/>
      </rPr>
      <t xml:space="preserve">38,150</t>
    </r>
    <r>
      <rPr>
        <sz val="10"/>
        <color rgb="FF595959"/>
        <rFont val="WenQuanYi Zen Hei"/>
        <family val="2"/>
      </rPr>
      <t xml:space="preserve">＋リベ大経由</t>
    </r>
    <r>
      <rPr>
        <sz val="10"/>
        <color rgb="FF595959"/>
        <rFont val="Arial"/>
        <family val="0"/>
        <charset val="1"/>
      </rPr>
      <t xml:space="preserve">160,000</t>
    </r>
    <r>
      <rPr>
        <sz val="10"/>
        <color rgb="FF595959"/>
        <rFont val="WenQuanYi Zen Hei"/>
        <family val="2"/>
      </rPr>
      <t xml:space="preserve">－社宅家賃徴収</t>
    </r>
    <r>
      <rPr>
        <sz val="10"/>
        <color rgb="FF595959"/>
        <rFont val="Arial"/>
        <family val="0"/>
        <charset val="1"/>
      </rPr>
      <t xml:space="preserve">60,000</t>
    </r>
    <r>
      <rPr>
        <sz val="10"/>
        <color rgb="FF595959"/>
        <rFont val="WenQuanYi Zen Hei"/>
        <family val="2"/>
      </rPr>
      <t xml:space="preserve">）</t>
    </r>
  </si>
  <si>
    <t xml:space="preserve">毎月定額</t>
  </si>
  <si>
    <r>
      <rPr>
        <sz val="10"/>
        <color rgb="FF595959"/>
        <rFont val="Arial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月実績（返済に伴い実際は少しずつ減少）</t>
    </r>
  </si>
  <si>
    <t xml:space="preserve">■ 決算・税金</t>
  </si>
  <si>
    <t xml:space="preserve">法人税等の実効負担率</t>
  </si>
  <si>
    <r>
      <rPr>
        <sz val="10"/>
        <color rgb="FF595959"/>
        <rFont val="WenQuanYi Zen Hei"/>
        <family val="2"/>
      </rPr>
      <t xml:space="preserve">前期（</t>
    </r>
    <r>
      <rPr>
        <sz val="10"/>
        <color rgb="FF595959"/>
        <rFont val="Arial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月期）実績：法人税等</t>
    </r>
    <r>
      <rPr>
        <sz val="10"/>
        <color rgb="FF595959"/>
        <rFont val="Arial"/>
        <family val="0"/>
        <charset val="1"/>
      </rPr>
      <t xml:space="preserve">701,453÷</t>
    </r>
    <r>
      <rPr>
        <sz val="10"/>
        <color rgb="FF595959"/>
        <rFont val="WenQuanYi Zen Hei"/>
        <family val="2"/>
      </rPr>
      <t xml:space="preserve">税引前利益</t>
    </r>
    <r>
      <rPr>
        <sz val="10"/>
        <color rgb="FF595959"/>
        <rFont val="Arial"/>
        <family val="0"/>
        <charset val="1"/>
      </rPr>
      <t xml:space="preserve">3,432,063</t>
    </r>
  </si>
  <si>
    <t xml:space="preserve">法人住民税均等割（最低額）</t>
  </si>
  <si>
    <t xml:space="preserve">赤字でも発生する最低額</t>
  </si>
  <si>
    <r>
      <rPr>
        <sz val="10"/>
        <rFont val="Arial"/>
        <family val="0"/>
        <charset val="1"/>
      </rPr>
      <t xml:space="preserve">2028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月期 減価償却費見込（年額）</t>
    </r>
  </si>
  <si>
    <t xml:space="preserve">当期と同額と仮定し、月割で計上</t>
  </si>
  <si>
    <t xml:space="preserve">■ 凡例</t>
  </si>
  <si>
    <t xml:space="preserve">青字：手入力の値（予算の前提）　黒字：計算式　緑字：前提条件シートへのリンク</t>
  </si>
  <si>
    <r>
      <rPr>
        <sz val="10"/>
        <color rgb="FF595959"/>
        <rFont val="WenQuanYi Zen Hei"/>
        <family val="2"/>
      </rPr>
      <t xml:space="preserve">灰色の列：マネーフォワード クラウド会計の実績（</t>
    </r>
    <r>
      <rPr>
        <sz val="10"/>
        <color rgb="FF595959"/>
        <rFont val="Arial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11</t>
    </r>
    <r>
      <rPr>
        <sz val="10"/>
        <color rgb="FF595959"/>
        <rFont val="WenQuanYi Zen Hei"/>
        <family val="2"/>
      </rPr>
      <t xml:space="preserve">月</t>
    </r>
    <r>
      <rPr>
        <sz val="10"/>
        <color rgb="FF595959"/>
        <rFont val="Arial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日時点）</t>
    </r>
  </si>
  <si>
    <r>
      <rPr>
        <sz val="10"/>
        <color rgb="FF595959"/>
        <rFont val="WenQuanYi Zen Hei"/>
        <family val="2"/>
      </rPr>
      <t xml:space="preserve">その他の経費の予算月額は、</t>
    </r>
    <r>
      <rPr>
        <sz val="10"/>
        <color rgb="FF595959"/>
        <rFont val="Arial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6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Arial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月実績の平均（予算表の各行の式で自動計算）</t>
    </r>
  </si>
  <si>
    <t xml:space="preserve">保険料・租税公課・賞与・受取配当金は、前期・当期の実績月に合わせて季節計上</t>
  </si>
  <si>
    <r>
      <rPr>
        <sz val="10"/>
        <color rgb="FF595959"/>
        <rFont val="Arial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Arial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月の実績データは未計上の科目あり（法定福利費 </t>
    </r>
    <r>
      <rPr>
        <sz val="10"/>
        <color rgb="FF595959"/>
        <rFont val="Arial"/>
        <family val="0"/>
        <charset val="1"/>
      </rPr>
      <t xml:space="preserve">0</t>
    </r>
    <r>
      <rPr>
        <sz val="10"/>
        <color rgb="FF595959"/>
        <rFont val="WenQuanYi Zen Hei"/>
        <family val="2"/>
      </rPr>
      <t xml:space="preserve">円）。月次確定後に要更新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</si>
</sst>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"/>
    <numFmt numFmtId="166" formatCode="#,##0;\(#,##0\);\-"/>
    <numFmt numFmtId="167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sz val="10"/>
      <color rgb="FF595959"/>
      <name val="WenQuanYi Zen Hei"/>
      <family val="2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2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2.5"/>
    <col collapsed="false" customWidth="true" hidden="false" outlineLevel="0" max="16" min="15" style="0" width="14"/>
    <col collapsed="false" customWidth="true" hidden="false" outlineLevel="0" max="22" min="17" style="0" width="12.5"/>
    <col collapsed="false" customWidth="true" hidden="false" outlineLevel="0" max="23" min="23" style="0" width="14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2</v>
      </c>
      <c r="O4" s="3" t="s">
        <v>4</v>
      </c>
      <c r="P4" s="4" t="s">
        <v>5</v>
      </c>
      <c r="Q4" s="4" t="s">
        <v>6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3" t="s">
        <v>7</v>
      </c>
    </row>
    <row r="5" customFormat="false" ht="15" hidden="false" customHeight="false" outlineLevel="0" collapsed="false">
      <c r="A5" s="4" t="s">
        <v>8</v>
      </c>
      <c r="B5" s="5" t="n">
        <v>46174</v>
      </c>
      <c r="C5" s="5" t="n">
        <v>46204</v>
      </c>
      <c r="D5" s="5" t="n">
        <v>46235</v>
      </c>
      <c r="E5" s="5" t="n">
        <v>46266</v>
      </c>
      <c r="F5" s="5" t="n">
        <v>46296</v>
      </c>
      <c r="G5" s="5" t="n">
        <v>46327</v>
      </c>
      <c r="H5" s="5" t="n">
        <v>46357</v>
      </c>
      <c r="I5" s="5" t="n">
        <v>46388</v>
      </c>
      <c r="J5" s="5" t="n">
        <v>46419</v>
      </c>
      <c r="K5" s="5" t="n">
        <v>46447</v>
      </c>
      <c r="L5" s="5" t="n">
        <v>46478</v>
      </c>
      <c r="M5" s="5" t="n">
        <v>46508</v>
      </c>
      <c r="N5" s="4" t="s">
        <v>9</v>
      </c>
      <c r="O5" s="4" t="s">
        <v>10</v>
      </c>
      <c r="P5" s="3" t="s">
        <v>11</v>
      </c>
      <c r="Q5" s="4" t="s">
        <v>12</v>
      </c>
      <c r="R5" s="5" t="n">
        <v>46539</v>
      </c>
      <c r="S5" s="5" t="n">
        <v>46569</v>
      </c>
      <c r="T5" s="5" t="n">
        <v>46600</v>
      </c>
      <c r="U5" s="5" t="n">
        <v>46631</v>
      </c>
      <c r="V5" s="5" t="n">
        <v>46661</v>
      </c>
      <c r="W5" s="3" t="s">
        <v>13</v>
      </c>
    </row>
    <row r="6" customFormat="false" ht="15" hidden="false" customHeight="false" outlineLevel="0" collapsed="false">
      <c r="A6" s="6" t="s">
        <v>14</v>
      </c>
      <c r="B6" s="7"/>
      <c r="C6" s="7"/>
      <c r="D6" s="7"/>
      <c r="E6" s="7"/>
      <c r="F6" s="7"/>
      <c r="G6" s="8"/>
      <c r="H6" s="8"/>
      <c r="I6" s="8"/>
      <c r="J6" s="8"/>
      <c r="K6" s="8"/>
      <c r="L6" s="8"/>
      <c r="M6" s="8"/>
      <c r="N6" s="7"/>
      <c r="O6" s="8"/>
      <c r="P6" s="8"/>
      <c r="Q6" s="8"/>
      <c r="R6" s="8"/>
      <c r="S6" s="8"/>
      <c r="T6" s="8"/>
      <c r="U6" s="8"/>
      <c r="V6" s="8"/>
      <c r="W6" s="8"/>
    </row>
    <row r="7" customFormat="false" ht="15" hidden="false" customHeight="false" outlineLevel="0" collapsed="false">
      <c r="A7" s="9" t="s">
        <v>15</v>
      </c>
      <c r="B7" s="7" t="n">
        <v>2497442</v>
      </c>
      <c r="C7" s="7" t="n">
        <v>2697442</v>
      </c>
      <c r="D7" s="7" t="n">
        <v>3688351</v>
      </c>
      <c r="E7" s="7" t="n">
        <v>3088351</v>
      </c>
      <c r="F7" s="7" t="n">
        <v>3088351</v>
      </c>
      <c r="G7" s="10" t="n">
        <f aca="false">前提条件!$B$19</f>
        <v>3088351</v>
      </c>
      <c r="H7" s="10" t="n">
        <f aca="false">前提条件!$B$19</f>
        <v>3088351</v>
      </c>
      <c r="I7" s="10" t="n">
        <f aca="false">前提条件!$B$19</f>
        <v>3088351</v>
      </c>
      <c r="J7" s="10" t="n">
        <f aca="false">前提条件!$B$19</f>
        <v>3088351</v>
      </c>
      <c r="K7" s="10" t="n">
        <f aca="false">前提条件!$B$19</f>
        <v>3088351</v>
      </c>
      <c r="L7" s="10" t="n">
        <f aca="false">前提条件!$B$19</f>
        <v>3088351</v>
      </c>
      <c r="M7" s="10" t="n">
        <f aca="false">前提条件!$B$19</f>
        <v>3088351</v>
      </c>
      <c r="N7" s="7" t="n">
        <v>0</v>
      </c>
      <c r="O7" s="11" t="n">
        <f aca="false">SUM(B7:N7)</f>
        <v>36678394</v>
      </c>
      <c r="P7" s="7" t="n">
        <v>24934849</v>
      </c>
      <c r="Q7" s="11" t="n">
        <f aca="false">O7-P7</f>
        <v>11743545</v>
      </c>
      <c r="R7" s="10" t="n">
        <f aca="false">前提条件!$B$19</f>
        <v>3088351</v>
      </c>
      <c r="S7" s="10" t="n">
        <f aca="false">前提条件!$B$19</f>
        <v>3088351</v>
      </c>
      <c r="T7" s="10" t="n">
        <f aca="false">前提条件!$B$19</f>
        <v>3088351</v>
      </c>
      <c r="U7" s="10" t="n">
        <f aca="false">前提条件!$B$19</f>
        <v>3088351</v>
      </c>
      <c r="V7" s="10" t="n">
        <f aca="false">前提条件!$B$19</f>
        <v>3088351</v>
      </c>
      <c r="W7" s="11" t="n">
        <f aca="false">SUM(R7:V7)</f>
        <v>15441755</v>
      </c>
    </row>
    <row r="8" customFormat="false" ht="15" hidden="false" customHeight="false" outlineLevel="0" collapsed="false">
      <c r="A8" s="9" t="s">
        <v>16</v>
      </c>
      <c r="B8" s="7" t="n">
        <v>0</v>
      </c>
      <c r="C8" s="7" t="n">
        <v>0</v>
      </c>
      <c r="D8" s="7" t="n">
        <v>0</v>
      </c>
      <c r="E8" s="7" t="n">
        <v>1131</v>
      </c>
      <c r="F8" s="7" t="n">
        <v>5400</v>
      </c>
      <c r="G8" s="8" t="n">
        <f aca="false">ROUND(AVERAGE($B8:$F8),0)</f>
        <v>1306</v>
      </c>
      <c r="H8" s="8" t="n">
        <f aca="false">ROUND(AVERAGE($B8:$F8),0)</f>
        <v>1306</v>
      </c>
      <c r="I8" s="8" t="n">
        <f aca="false">ROUND(AVERAGE($B8:$F8),0)</f>
        <v>1306</v>
      </c>
      <c r="J8" s="8" t="n">
        <f aca="false">ROUND(AVERAGE($B8:$F8),0)</f>
        <v>1306</v>
      </c>
      <c r="K8" s="8" t="n">
        <f aca="false">ROUND(AVERAGE($B8:$F8),0)</f>
        <v>1306</v>
      </c>
      <c r="L8" s="8" t="n">
        <f aca="false">ROUND(AVERAGE($B8:$F8),0)</f>
        <v>1306</v>
      </c>
      <c r="M8" s="8" t="n">
        <f aca="false">ROUND(AVERAGE($B8:$F8),0)</f>
        <v>1306</v>
      </c>
      <c r="N8" s="7" t="n">
        <v>0</v>
      </c>
      <c r="O8" s="11" t="n">
        <f aca="false">SUM(B8:N8)</f>
        <v>15673</v>
      </c>
      <c r="P8" s="7" t="n">
        <v>8622</v>
      </c>
      <c r="Q8" s="11" t="n">
        <f aca="false">O8-P8</f>
        <v>7051</v>
      </c>
      <c r="R8" s="8" t="n">
        <f aca="false">ROUND(AVERAGE($B8:$F8),0)</f>
        <v>1306</v>
      </c>
      <c r="S8" s="8" t="n">
        <f aca="false">ROUND(AVERAGE($B8:$F8),0)</f>
        <v>1306</v>
      </c>
      <c r="T8" s="8" t="n">
        <f aca="false">ROUND(AVERAGE($B8:$F8),0)</f>
        <v>1306</v>
      </c>
      <c r="U8" s="8" t="n">
        <f aca="false">ROUND(AVERAGE($B8:$F8),0)</f>
        <v>1306</v>
      </c>
      <c r="V8" s="8" t="n">
        <f aca="false">ROUND(AVERAGE($B8:$F8),0)</f>
        <v>1306</v>
      </c>
      <c r="W8" s="11" t="n">
        <f aca="false">SUM(R8:V8)</f>
        <v>6530</v>
      </c>
    </row>
    <row r="9" customFormat="false" ht="15" hidden="false" customHeight="false" outlineLevel="0" collapsed="false">
      <c r="A9" s="12" t="s">
        <v>17</v>
      </c>
      <c r="B9" s="13" t="n">
        <f aca="false">SUM(B7,B8)</f>
        <v>2497442</v>
      </c>
      <c r="C9" s="13" t="n">
        <f aca="false">SUM(C7,C8)</f>
        <v>2697442</v>
      </c>
      <c r="D9" s="13" t="n">
        <f aca="false">SUM(D7,D8)</f>
        <v>3688351</v>
      </c>
      <c r="E9" s="13" t="n">
        <f aca="false">SUM(E7,E8)</f>
        <v>3089482</v>
      </c>
      <c r="F9" s="13" t="n">
        <f aca="false">SUM(F7,F8)</f>
        <v>3093751</v>
      </c>
      <c r="G9" s="13" t="n">
        <f aca="false">SUM(G7,G8)</f>
        <v>3089657</v>
      </c>
      <c r="H9" s="13" t="n">
        <f aca="false">SUM(H7,H8)</f>
        <v>3089657</v>
      </c>
      <c r="I9" s="13" t="n">
        <f aca="false">SUM(I7,I8)</f>
        <v>3089657</v>
      </c>
      <c r="J9" s="13" t="n">
        <f aca="false">SUM(J7,J8)</f>
        <v>3089657</v>
      </c>
      <c r="K9" s="13" t="n">
        <f aca="false">SUM(K7,K8)</f>
        <v>3089657</v>
      </c>
      <c r="L9" s="13" t="n">
        <f aca="false">SUM(L7,L8)</f>
        <v>3089657</v>
      </c>
      <c r="M9" s="13" t="n">
        <f aca="false">SUM(M7,M8)</f>
        <v>3089657</v>
      </c>
      <c r="N9" s="13" t="n">
        <f aca="false">SUM(N7,N8)</f>
        <v>0</v>
      </c>
      <c r="O9" s="13" t="n">
        <f aca="false">SUM(B9:N9)</f>
        <v>36694067</v>
      </c>
      <c r="P9" s="13" t="n">
        <f aca="false">SUM(P7,P8)</f>
        <v>24943471</v>
      </c>
      <c r="Q9" s="13" t="n">
        <f aca="false">O9-P9</f>
        <v>11750596</v>
      </c>
      <c r="R9" s="13" t="n">
        <f aca="false">SUM(R7,R8)</f>
        <v>3089657</v>
      </c>
      <c r="S9" s="13" t="n">
        <f aca="false">SUM(S7,S8)</f>
        <v>3089657</v>
      </c>
      <c r="T9" s="13" t="n">
        <f aca="false">SUM(T7,T8)</f>
        <v>3089657</v>
      </c>
      <c r="U9" s="13" t="n">
        <f aca="false">SUM(U7,U8)</f>
        <v>3089657</v>
      </c>
      <c r="V9" s="13" t="n">
        <f aca="false">SUM(V7,V8)</f>
        <v>3089657</v>
      </c>
      <c r="W9" s="13" t="n">
        <f aca="false">SUM(R9:V9)</f>
        <v>15448285</v>
      </c>
    </row>
    <row r="10" customFormat="false" ht="15" hidden="false" customHeight="false" outlineLevel="0" collapsed="false">
      <c r="A10" s="9" t="s">
        <v>18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7" t="n">
        <v>0</v>
      </c>
      <c r="O10" s="11" t="n">
        <f aca="false">SUM(B10:N10)</f>
        <v>0</v>
      </c>
      <c r="P10" s="8" t="n">
        <v>0</v>
      </c>
      <c r="Q10" s="11" t="n">
        <f aca="false">O10-P10</f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11" t="n">
        <f aca="false">SUM(R10:V10)</f>
        <v>0</v>
      </c>
    </row>
    <row r="11" customFormat="false" ht="15" hidden="false" customHeight="false" outlineLevel="0" collapsed="false">
      <c r="A11" s="12" t="s">
        <v>19</v>
      </c>
      <c r="B11" s="13" t="n">
        <f aca="false">B9-B10</f>
        <v>2497442</v>
      </c>
      <c r="C11" s="13" t="n">
        <f aca="false">C9-C10</f>
        <v>2697442</v>
      </c>
      <c r="D11" s="13" t="n">
        <f aca="false">D9-D10</f>
        <v>3688351</v>
      </c>
      <c r="E11" s="13" t="n">
        <f aca="false">E9-E10</f>
        <v>3089482</v>
      </c>
      <c r="F11" s="13" t="n">
        <f aca="false">F9-F10</f>
        <v>3093751</v>
      </c>
      <c r="G11" s="13" t="n">
        <f aca="false">G9-G10</f>
        <v>3089657</v>
      </c>
      <c r="H11" s="13" t="n">
        <f aca="false">H9-H10</f>
        <v>3089657</v>
      </c>
      <c r="I11" s="13" t="n">
        <f aca="false">I9-I10</f>
        <v>3089657</v>
      </c>
      <c r="J11" s="13" t="n">
        <f aca="false">J9-J10</f>
        <v>3089657</v>
      </c>
      <c r="K11" s="13" t="n">
        <f aca="false">K9-K10</f>
        <v>3089657</v>
      </c>
      <c r="L11" s="13" t="n">
        <f aca="false">L9-L10</f>
        <v>3089657</v>
      </c>
      <c r="M11" s="13" t="n">
        <f aca="false">M9-M10</f>
        <v>3089657</v>
      </c>
      <c r="N11" s="13" t="n">
        <f aca="false">N9-N10</f>
        <v>0</v>
      </c>
      <c r="O11" s="13" t="n">
        <f aca="false">SUM(B11:N11)</f>
        <v>36694067</v>
      </c>
      <c r="P11" s="13" t="n">
        <f aca="false">P9-P10</f>
        <v>24943471</v>
      </c>
      <c r="Q11" s="13" t="n">
        <f aca="false">O11-P11</f>
        <v>11750596</v>
      </c>
      <c r="R11" s="13" t="n">
        <f aca="false">R9-R10</f>
        <v>3089657</v>
      </c>
      <c r="S11" s="13" t="n">
        <f aca="false">S9-S10</f>
        <v>3089657</v>
      </c>
      <c r="T11" s="13" t="n">
        <f aca="false">T9-T10</f>
        <v>3089657</v>
      </c>
      <c r="U11" s="13" t="n">
        <f aca="false">U9-U10</f>
        <v>3089657</v>
      </c>
      <c r="V11" s="13" t="n">
        <f aca="false">V9-V10</f>
        <v>3089657</v>
      </c>
      <c r="W11" s="13" t="n">
        <f aca="false">SUM(R11:V11)</f>
        <v>15448285</v>
      </c>
    </row>
    <row r="12" customFormat="false" ht="15" hidden="false" customHeight="false" outlineLevel="0" collapsed="false">
      <c r="A12" s="6" t="s">
        <v>20</v>
      </c>
      <c r="B12" s="7"/>
      <c r="C12" s="7"/>
      <c r="D12" s="7"/>
      <c r="E12" s="7"/>
      <c r="F12" s="7"/>
      <c r="G12" s="8"/>
      <c r="H12" s="8"/>
      <c r="I12" s="8"/>
      <c r="J12" s="8"/>
      <c r="K12" s="8"/>
      <c r="L12" s="8"/>
      <c r="M12" s="8"/>
      <c r="N12" s="7"/>
      <c r="O12" s="8"/>
      <c r="P12" s="8"/>
      <c r="Q12" s="8"/>
      <c r="R12" s="8"/>
      <c r="S12" s="8"/>
      <c r="T12" s="8"/>
      <c r="U12" s="8"/>
      <c r="V12" s="8"/>
      <c r="W12" s="8"/>
    </row>
    <row r="13" customFormat="false" ht="15" hidden="false" customHeight="false" outlineLevel="0" collapsed="false">
      <c r="A13" s="9" t="s">
        <v>21</v>
      </c>
      <c r="B13" s="7" t="n">
        <v>1250000</v>
      </c>
      <c r="C13" s="7" t="n">
        <v>1250000</v>
      </c>
      <c r="D13" s="7" t="n">
        <v>1450000</v>
      </c>
      <c r="E13" s="7" t="n">
        <v>1450000</v>
      </c>
      <c r="F13" s="7" t="n">
        <v>1450000</v>
      </c>
      <c r="G13" s="10" t="n">
        <f aca="false">前提条件!$B$20</f>
        <v>1450000</v>
      </c>
      <c r="H13" s="10" t="n">
        <f aca="false">前提条件!$B$20</f>
        <v>1450000</v>
      </c>
      <c r="I13" s="10" t="n">
        <f aca="false">前提条件!$B$20</f>
        <v>1450000</v>
      </c>
      <c r="J13" s="10" t="n">
        <f aca="false">前提条件!$B$20</f>
        <v>1450000</v>
      </c>
      <c r="K13" s="10" t="n">
        <f aca="false">前提条件!$B$20</f>
        <v>1450000</v>
      </c>
      <c r="L13" s="10" t="n">
        <f aca="false">前提条件!$B$20</f>
        <v>1450000</v>
      </c>
      <c r="M13" s="10" t="n">
        <f aca="false">前提条件!$B$20</f>
        <v>1450000</v>
      </c>
      <c r="N13" s="7" t="n">
        <v>0</v>
      </c>
      <c r="O13" s="11" t="n">
        <f aca="false">SUM(B13:N13)</f>
        <v>17000000</v>
      </c>
      <c r="P13" s="7" t="n">
        <v>9000000</v>
      </c>
      <c r="Q13" s="11" t="n">
        <f aca="false">O13-P13</f>
        <v>8000000</v>
      </c>
      <c r="R13" s="10" t="n">
        <f aca="false">前提条件!$B$20</f>
        <v>1450000</v>
      </c>
      <c r="S13" s="10" t="n">
        <f aca="false">前提条件!$B$20</f>
        <v>1450000</v>
      </c>
      <c r="T13" s="10" t="n">
        <f aca="false">前提条件!$B$20</f>
        <v>1450000</v>
      </c>
      <c r="U13" s="10" t="n">
        <f aca="false">前提条件!$B$20</f>
        <v>1450000</v>
      </c>
      <c r="V13" s="10" t="n">
        <f aca="false">前提条件!$B$20</f>
        <v>1450000</v>
      </c>
      <c r="W13" s="11" t="n">
        <f aca="false">SUM(R13:V13)</f>
        <v>7250000</v>
      </c>
    </row>
    <row r="14" customFormat="false" ht="15" hidden="false" customHeight="false" outlineLevel="0" collapsed="false">
      <c r="A14" s="9" t="s">
        <v>22</v>
      </c>
      <c r="B14" s="7" t="n">
        <v>335000</v>
      </c>
      <c r="C14" s="7" t="n">
        <v>335000</v>
      </c>
      <c r="D14" s="7" t="n">
        <v>335000</v>
      </c>
      <c r="E14" s="7" t="n">
        <v>335000</v>
      </c>
      <c r="F14" s="7" t="n">
        <v>335000</v>
      </c>
      <c r="G14" s="10" t="n">
        <f aca="false">前提条件!$B$21</f>
        <v>335000</v>
      </c>
      <c r="H14" s="10" t="n">
        <f aca="false">前提条件!$B$21</f>
        <v>335000</v>
      </c>
      <c r="I14" s="10" t="n">
        <f aca="false">前提条件!$B$21</f>
        <v>335000</v>
      </c>
      <c r="J14" s="10" t="n">
        <f aca="false">前提条件!$B$21</f>
        <v>335000</v>
      </c>
      <c r="K14" s="10" t="n">
        <f aca="false">前提条件!$B$21</f>
        <v>335000</v>
      </c>
      <c r="L14" s="10" t="n">
        <f aca="false">前提条件!$B$21</f>
        <v>335000</v>
      </c>
      <c r="M14" s="10" t="n">
        <f aca="false">前提条件!$B$21</f>
        <v>335000</v>
      </c>
      <c r="N14" s="7" t="n">
        <v>0</v>
      </c>
      <c r="O14" s="11" t="n">
        <f aca="false">SUM(B14:N14)</f>
        <v>4020000</v>
      </c>
      <c r="P14" s="7" t="n">
        <v>4329659</v>
      </c>
      <c r="Q14" s="11" t="n">
        <f aca="false">O14-P14</f>
        <v>-309659</v>
      </c>
      <c r="R14" s="10" t="n">
        <f aca="false">前提条件!$B$21</f>
        <v>335000</v>
      </c>
      <c r="S14" s="10" t="n">
        <f aca="false">前提条件!$B$21</f>
        <v>335000</v>
      </c>
      <c r="T14" s="10" t="n">
        <f aca="false">前提条件!$B$21</f>
        <v>335000</v>
      </c>
      <c r="U14" s="10" t="n">
        <f aca="false">前提条件!$B$21</f>
        <v>335000</v>
      </c>
      <c r="V14" s="10" t="n">
        <f aca="false">前提条件!$B$21</f>
        <v>335000</v>
      </c>
      <c r="W14" s="11" t="n">
        <f aca="false">SUM(R14:V14)</f>
        <v>1675000</v>
      </c>
    </row>
    <row r="15" customFormat="false" ht="15" hidden="false" customHeight="false" outlineLevel="0" collapsed="false">
      <c r="A15" s="9" t="s">
        <v>23</v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8" t="n">
        <f aca="false">IF(G$5&gt;=前提条件!$B$5,前提条件!$B$6,0)</f>
        <v>280000</v>
      </c>
      <c r="H15" s="8" t="n">
        <f aca="false">IF(H$5&gt;=前提条件!$B$5,前提条件!$B$6,0)</f>
        <v>280000</v>
      </c>
      <c r="I15" s="8" t="n">
        <f aca="false">IF(I$5&gt;=前提条件!$B$5,前提条件!$B$6,0)</f>
        <v>280000</v>
      </c>
      <c r="J15" s="8" t="n">
        <f aca="false">IF(J$5&gt;=前提条件!$B$5,前提条件!$B$6,0)</f>
        <v>280000</v>
      </c>
      <c r="K15" s="8" t="n">
        <f aca="false">IF(K$5&gt;=前提条件!$B$5,前提条件!$B$6,0)</f>
        <v>280000</v>
      </c>
      <c r="L15" s="8" t="n">
        <f aca="false">IF(L$5&gt;=前提条件!$B$5,前提条件!$B$6,0)</f>
        <v>280000</v>
      </c>
      <c r="M15" s="8" t="n">
        <f aca="false">IF(M$5&gt;=前提条件!$B$5,前提条件!$B$6,0)</f>
        <v>280000</v>
      </c>
      <c r="N15" s="7" t="n">
        <v>0</v>
      </c>
      <c r="O15" s="11" t="n">
        <f aca="false">SUM(B15:N15)</f>
        <v>1960000</v>
      </c>
      <c r="P15" s="7" t="n">
        <v>0</v>
      </c>
      <c r="Q15" s="11" t="n">
        <f aca="false">O15-P15</f>
        <v>1960000</v>
      </c>
      <c r="R15" s="8" t="n">
        <f aca="false">IF(R$5&gt;=前提条件!$B$5,前提条件!$B$6,0)</f>
        <v>280000</v>
      </c>
      <c r="S15" s="8" t="n">
        <f aca="false">IF(S$5&gt;=前提条件!$B$5,前提条件!$B$6,0)</f>
        <v>280000</v>
      </c>
      <c r="T15" s="8" t="n">
        <f aca="false">IF(T$5&gt;=前提条件!$B$5,前提条件!$B$6,0)</f>
        <v>280000</v>
      </c>
      <c r="U15" s="8" t="n">
        <f aca="false">IF(U$5&gt;=前提条件!$B$5,前提条件!$B$6,0)</f>
        <v>280000</v>
      </c>
      <c r="V15" s="8" t="n">
        <f aca="false">IF(V$5&gt;=前提条件!$B$5,前提条件!$B$6,0)</f>
        <v>280000</v>
      </c>
      <c r="W15" s="11" t="n">
        <f aca="false">SUM(R15:V15)</f>
        <v>1400000</v>
      </c>
    </row>
    <row r="16" customFormat="false" ht="15" hidden="false" customHeight="false" outlineLevel="0" collapsed="false">
      <c r="A16" s="9" t="s">
        <v>24</v>
      </c>
      <c r="B16" s="7" t="n">
        <v>400000</v>
      </c>
      <c r="C16" s="7" t="n">
        <v>0</v>
      </c>
      <c r="D16" s="7" t="n">
        <v>0</v>
      </c>
      <c r="E16" s="7" t="n">
        <v>0</v>
      </c>
      <c r="F16" s="7" t="n">
        <v>0</v>
      </c>
      <c r="G16" s="14" t="n">
        <f aca="false">0+IF(AND(G15&gt;0,OR(MONTH(G$5)=12,MONTH(G$5)=6)),前提条件!$B$7,0)</f>
        <v>0</v>
      </c>
      <c r="H16" s="14" t="n">
        <f aca="false">500000+IF(AND(H15&gt;0,OR(MONTH(H$5)=12,MONTH(H$5)=6)),前提条件!$B$7,0)</f>
        <v>500000</v>
      </c>
      <c r="I16" s="14" t="n">
        <f aca="false">0+IF(AND(I15&gt;0,OR(MONTH(I$5)=12,MONTH(I$5)=6)),前提条件!$B$7,0)</f>
        <v>0</v>
      </c>
      <c r="J16" s="14" t="n">
        <f aca="false">0+IF(AND(J15&gt;0,OR(MONTH(J$5)=12,MONTH(J$5)=6)),前提条件!$B$7,0)</f>
        <v>0</v>
      </c>
      <c r="K16" s="14" t="n">
        <f aca="false">0+IF(AND(K15&gt;0,OR(MONTH(K$5)=12,MONTH(K$5)=6)),前提条件!$B$7,0)</f>
        <v>0</v>
      </c>
      <c r="L16" s="14" t="n">
        <f aca="false">0+IF(AND(L15&gt;0,OR(MONTH(L$5)=12,MONTH(L$5)=6)),前提条件!$B$7,0)</f>
        <v>0</v>
      </c>
      <c r="M16" s="14" t="n">
        <f aca="false">0+IF(AND(M15&gt;0,OR(MONTH(M$5)=12,MONTH(M$5)=6)),前提条件!$B$7,0)</f>
        <v>0</v>
      </c>
      <c r="N16" s="7" t="n">
        <v>0</v>
      </c>
      <c r="O16" s="11" t="n">
        <f aca="false">SUM(B16:N16)</f>
        <v>900000</v>
      </c>
      <c r="P16" s="7" t="n">
        <v>900000</v>
      </c>
      <c r="Q16" s="11" t="n">
        <f aca="false">O16-P16</f>
        <v>0</v>
      </c>
      <c r="R16" s="14" t="n">
        <f aca="false">400000+IF(AND(R15&gt;0,OR(MONTH(R$5)=12,MONTH(R$5)=6)),前提条件!$B$7,0)</f>
        <v>400000</v>
      </c>
      <c r="S16" s="14" t="n">
        <f aca="false">0+IF(AND(S15&gt;0,OR(MONTH(S$5)=12,MONTH(S$5)=6)),前提条件!$B$7,0)</f>
        <v>0</v>
      </c>
      <c r="T16" s="14" t="n">
        <f aca="false">0+IF(AND(T15&gt;0,OR(MONTH(T$5)=12,MONTH(T$5)=6)),前提条件!$B$7,0)</f>
        <v>0</v>
      </c>
      <c r="U16" s="14" t="n">
        <f aca="false">0+IF(AND(U15&gt;0,OR(MONTH(U$5)=12,MONTH(U$5)=6)),前提条件!$B$7,0)</f>
        <v>0</v>
      </c>
      <c r="V16" s="14" t="n">
        <f aca="false">0+IF(AND(V15&gt;0,OR(MONTH(V$5)=12,MONTH(V$5)=6)),前提条件!$B$7,0)</f>
        <v>0</v>
      </c>
      <c r="W16" s="11" t="n">
        <f aca="false">SUM(R16:V16)</f>
        <v>400000</v>
      </c>
    </row>
    <row r="17" customFormat="false" ht="15" hidden="false" customHeight="false" outlineLevel="0" collapsed="false">
      <c r="A17" s="9" t="s">
        <v>25</v>
      </c>
      <c r="B17" s="7" t="n">
        <v>107235</v>
      </c>
      <c r="C17" s="7" t="n">
        <v>107235</v>
      </c>
      <c r="D17" s="7" t="n">
        <v>165995</v>
      </c>
      <c r="E17" s="7" t="n">
        <v>176167</v>
      </c>
      <c r="F17" s="7" t="n">
        <v>0</v>
      </c>
      <c r="G17" s="8" t="n">
        <f aca="false">前提条件!$B$22+ROUND(G16*前提条件!$B$16,0)</f>
        <v>176167</v>
      </c>
      <c r="H17" s="8" t="n">
        <f aca="false">前提条件!$B$22+ROUND(H16*前提条件!$B$16,0)</f>
        <v>255542</v>
      </c>
      <c r="I17" s="8" t="n">
        <f aca="false">前提条件!$B$22+ROUND(I16*前提条件!$B$16,0)</f>
        <v>176167</v>
      </c>
      <c r="J17" s="8" t="n">
        <f aca="false">前提条件!$B$22+ROUND(J16*前提条件!$B$16,0)</f>
        <v>176167</v>
      </c>
      <c r="K17" s="8" t="n">
        <f aca="false">前提条件!$B$22+ROUND(K16*前提条件!$B$16,0)</f>
        <v>176167</v>
      </c>
      <c r="L17" s="8" t="n">
        <f aca="false">前提条件!$B$22+ROUND(L16*前提条件!$B$16,0)</f>
        <v>176167</v>
      </c>
      <c r="M17" s="8" t="n">
        <f aca="false">前提条件!$B$22+ROUND(M16*前提条件!$B$16,0)</f>
        <v>176167</v>
      </c>
      <c r="N17" s="7" t="n">
        <v>0</v>
      </c>
      <c r="O17" s="11" t="n">
        <f aca="false">SUM(B17:N17)</f>
        <v>1869176</v>
      </c>
      <c r="P17" s="7" t="n">
        <v>1430750</v>
      </c>
      <c r="Q17" s="11" t="n">
        <f aca="false">O17-P17</f>
        <v>438426</v>
      </c>
      <c r="R17" s="8" t="n">
        <f aca="false">前提条件!$B$22+ROUND(R16*前提条件!$B$16,0)</f>
        <v>239667</v>
      </c>
      <c r="S17" s="8" t="n">
        <f aca="false">前提条件!$B$22+ROUND(S16*前提条件!$B$16,0)</f>
        <v>176167</v>
      </c>
      <c r="T17" s="8" t="n">
        <f aca="false">前提条件!$B$22+ROUND(T16*前提条件!$B$16,0)</f>
        <v>176167</v>
      </c>
      <c r="U17" s="8" t="n">
        <f aca="false">前提条件!$B$22+ROUND(U16*前提条件!$B$16,0)</f>
        <v>176167</v>
      </c>
      <c r="V17" s="8" t="n">
        <f aca="false">前提条件!$B$22+ROUND(V16*前提条件!$B$16,0)</f>
        <v>176167</v>
      </c>
      <c r="W17" s="11" t="n">
        <f aca="false">SUM(R17:V17)</f>
        <v>944335</v>
      </c>
    </row>
    <row r="18" customFormat="false" ht="15" hidden="false" customHeight="false" outlineLevel="0" collapsed="false">
      <c r="A18" s="9" t="s">
        <v>26</v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8" t="n">
        <f aca="false">ROUND((G15+IF(AND(G15&gt;0,OR(MONTH(G$5)=12,MONTH(G$5)=6)),前提条件!$B$7,0))*前提条件!$B$16,0)</f>
        <v>44450</v>
      </c>
      <c r="H18" s="8" t="n">
        <f aca="false">ROUND((H15+IF(AND(H15&gt;0,OR(MONTH(H$5)=12,MONTH(H$5)=6)),前提条件!$B$7,0))*前提条件!$B$16,0)</f>
        <v>44450</v>
      </c>
      <c r="I18" s="8" t="n">
        <f aca="false">ROUND((I15+IF(AND(I15&gt;0,OR(MONTH(I$5)=12,MONTH(I$5)=6)),前提条件!$B$7,0))*前提条件!$B$16,0)</f>
        <v>44450</v>
      </c>
      <c r="J18" s="8" t="n">
        <f aca="false">ROUND((J15+IF(AND(J15&gt;0,OR(MONTH(J$5)=12,MONTH(J$5)=6)),前提条件!$B$7,0))*前提条件!$B$16,0)</f>
        <v>44450</v>
      </c>
      <c r="K18" s="8" t="n">
        <f aca="false">ROUND((K15+IF(AND(K15&gt;0,OR(MONTH(K$5)=12,MONTH(K$5)=6)),前提条件!$B$7,0))*前提条件!$B$16,0)</f>
        <v>44450</v>
      </c>
      <c r="L18" s="8" t="n">
        <f aca="false">ROUND((L15+IF(AND(L15&gt;0,OR(MONTH(L$5)=12,MONTH(L$5)=6)),前提条件!$B$7,0))*前提条件!$B$16,0)</f>
        <v>44450</v>
      </c>
      <c r="M18" s="8" t="n">
        <f aca="false">ROUND((M15+IF(AND(M15&gt;0,OR(MONTH(M$5)=12,MONTH(M$5)=6)),前提条件!$B$7,0))*前提条件!$B$16,0)</f>
        <v>44450</v>
      </c>
      <c r="N18" s="7" t="n">
        <v>0</v>
      </c>
      <c r="O18" s="11" t="n">
        <f aca="false">SUM(B18:N18)</f>
        <v>311150</v>
      </c>
      <c r="P18" s="7" t="n">
        <v>0</v>
      </c>
      <c r="Q18" s="11" t="n">
        <f aca="false">O18-P18</f>
        <v>311150</v>
      </c>
      <c r="R18" s="8" t="n">
        <f aca="false">ROUND((R15+IF(AND(R15&gt;0,OR(MONTH(R$5)=12,MONTH(R$5)=6)),前提条件!$B$7,0))*前提条件!$B$16,0)</f>
        <v>44450</v>
      </c>
      <c r="S18" s="8" t="n">
        <f aca="false">ROUND((S15+IF(AND(S15&gt;0,OR(MONTH(S$5)=12,MONTH(S$5)=6)),前提条件!$B$7,0))*前提条件!$B$16,0)</f>
        <v>44450</v>
      </c>
      <c r="T18" s="8" t="n">
        <f aca="false">ROUND((T15+IF(AND(T15&gt;0,OR(MONTH(T$5)=12,MONTH(T$5)=6)),前提条件!$B$7,0))*前提条件!$B$16,0)</f>
        <v>44450</v>
      </c>
      <c r="U18" s="8" t="n">
        <f aca="false">ROUND((U15+IF(AND(U15&gt;0,OR(MONTH(U$5)=12,MONTH(U$5)=6)),前提条件!$B$7,0))*前提条件!$B$16,0)</f>
        <v>44450</v>
      </c>
      <c r="V18" s="8" t="n">
        <f aca="false">ROUND((V15+IF(AND(V15&gt;0,OR(MONTH(V$5)=12,MONTH(V$5)=6)),前提条件!$B$7,0))*前提条件!$B$16,0)</f>
        <v>44450</v>
      </c>
      <c r="W18" s="11" t="n">
        <f aca="false">SUM(R18:V18)</f>
        <v>222250</v>
      </c>
    </row>
    <row r="19" customFormat="false" ht="15" hidden="false" customHeight="false" outlineLevel="0" collapsed="false">
      <c r="A19" s="9" t="s">
        <v>27</v>
      </c>
      <c r="B19" s="7" t="n">
        <v>80940</v>
      </c>
      <c r="C19" s="7" t="n">
        <v>65660</v>
      </c>
      <c r="D19" s="7" t="n">
        <v>88340</v>
      </c>
      <c r="E19" s="7" t="n">
        <v>77560</v>
      </c>
      <c r="F19" s="7" t="n">
        <v>100060</v>
      </c>
      <c r="G19" s="8" t="n">
        <f aca="false">ROUND(AVERAGE($B19:$F19),0)</f>
        <v>82512</v>
      </c>
      <c r="H19" s="8" t="n">
        <f aca="false">ROUND(AVERAGE($B19:$F19),0)</f>
        <v>82512</v>
      </c>
      <c r="I19" s="8" t="n">
        <f aca="false">ROUND(AVERAGE($B19:$F19),0)</f>
        <v>82512</v>
      </c>
      <c r="J19" s="8" t="n">
        <f aca="false">ROUND(AVERAGE($B19:$F19),0)</f>
        <v>82512</v>
      </c>
      <c r="K19" s="8" t="n">
        <f aca="false">ROUND(AVERAGE($B19:$F19),0)</f>
        <v>82512</v>
      </c>
      <c r="L19" s="8" t="n">
        <f aca="false">ROUND(AVERAGE($B19:$F19),0)</f>
        <v>82512</v>
      </c>
      <c r="M19" s="8" t="n">
        <f aca="false">ROUND(AVERAGE($B19:$F19),0)</f>
        <v>82512</v>
      </c>
      <c r="N19" s="7" t="n">
        <v>0</v>
      </c>
      <c r="O19" s="11" t="n">
        <f aca="false">SUM(B19:N19)</f>
        <v>990144</v>
      </c>
      <c r="P19" s="7" t="n">
        <v>974688</v>
      </c>
      <c r="Q19" s="11" t="n">
        <f aca="false">O19-P19</f>
        <v>15456</v>
      </c>
      <c r="R19" s="8" t="n">
        <f aca="false">ROUND(AVERAGE($B19:$F19),0)</f>
        <v>82512</v>
      </c>
      <c r="S19" s="8" t="n">
        <f aca="false">ROUND(AVERAGE($B19:$F19),0)</f>
        <v>82512</v>
      </c>
      <c r="T19" s="8" t="n">
        <f aca="false">ROUND(AVERAGE($B19:$F19),0)</f>
        <v>82512</v>
      </c>
      <c r="U19" s="8" t="n">
        <f aca="false">ROUND(AVERAGE($B19:$F19),0)</f>
        <v>82512</v>
      </c>
      <c r="V19" s="8" t="n">
        <f aca="false">ROUND(AVERAGE($B19:$F19),0)</f>
        <v>82512</v>
      </c>
      <c r="W19" s="11" t="n">
        <f aca="false">SUM(R19:V19)</f>
        <v>412560</v>
      </c>
    </row>
    <row r="20" customFormat="false" ht="15" hidden="false" customHeight="false" outlineLevel="0" collapsed="false">
      <c r="A20" s="9" t="s">
        <v>28</v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7" t="n">
        <v>0</v>
      </c>
      <c r="O20" s="11" t="n">
        <f aca="false">SUM(B20:N20)</f>
        <v>0</v>
      </c>
      <c r="P20" s="7" t="n">
        <v>50000</v>
      </c>
      <c r="Q20" s="11" t="n">
        <f aca="false">O20-P20</f>
        <v>-50000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1" t="n">
        <f aca="false">SUM(R20:V20)</f>
        <v>0</v>
      </c>
    </row>
    <row r="21" customFormat="false" ht="15" hidden="false" customHeight="false" outlineLevel="0" collapsed="false">
      <c r="A21" s="9" t="s">
        <v>29</v>
      </c>
      <c r="B21" s="7" t="n">
        <v>185208</v>
      </c>
      <c r="C21" s="7" t="n">
        <v>90938</v>
      </c>
      <c r="D21" s="7" t="n">
        <v>144173</v>
      </c>
      <c r="E21" s="7" t="n">
        <v>264670</v>
      </c>
      <c r="F21" s="7" t="n">
        <v>56743</v>
      </c>
      <c r="G21" s="8" t="n">
        <f aca="false">ROUND(AVERAGE($B21:$F21),0)</f>
        <v>148346</v>
      </c>
      <c r="H21" s="8" t="n">
        <f aca="false">ROUND(AVERAGE($B21:$F21),0)</f>
        <v>148346</v>
      </c>
      <c r="I21" s="8" t="n">
        <f aca="false">ROUND(AVERAGE($B21:$F21),0)</f>
        <v>148346</v>
      </c>
      <c r="J21" s="8" t="n">
        <f aca="false">ROUND(AVERAGE($B21:$F21),0)</f>
        <v>148346</v>
      </c>
      <c r="K21" s="8" t="n">
        <f aca="false">ROUND(AVERAGE($B21:$F21),0)</f>
        <v>148346</v>
      </c>
      <c r="L21" s="8" t="n">
        <f aca="false">ROUND(AVERAGE($B21:$F21),0)</f>
        <v>148346</v>
      </c>
      <c r="M21" s="8" t="n">
        <f aca="false">ROUND(AVERAGE($B21:$F21),0)</f>
        <v>148346</v>
      </c>
      <c r="N21" s="7" t="n">
        <v>0</v>
      </c>
      <c r="O21" s="11" t="n">
        <f aca="false">SUM(B21:N21)</f>
        <v>1780154</v>
      </c>
      <c r="P21" s="7" t="n">
        <v>1529626</v>
      </c>
      <c r="Q21" s="11" t="n">
        <f aca="false">O21-P21</f>
        <v>250528</v>
      </c>
      <c r="R21" s="8" t="n">
        <f aca="false">ROUND(AVERAGE($B21:$F21),0)</f>
        <v>148346</v>
      </c>
      <c r="S21" s="8" t="n">
        <f aca="false">ROUND(AVERAGE($B21:$F21),0)</f>
        <v>148346</v>
      </c>
      <c r="T21" s="8" t="n">
        <f aca="false">ROUND(AVERAGE($B21:$F21),0)</f>
        <v>148346</v>
      </c>
      <c r="U21" s="8" t="n">
        <f aca="false">ROUND(AVERAGE($B21:$F21),0)</f>
        <v>148346</v>
      </c>
      <c r="V21" s="8" t="n">
        <f aca="false">ROUND(AVERAGE($B21:$F21),0)</f>
        <v>148346</v>
      </c>
      <c r="W21" s="11" t="n">
        <f aca="false">SUM(R21:V21)</f>
        <v>741730</v>
      </c>
    </row>
    <row r="22" customFormat="false" ht="15" hidden="false" customHeight="false" outlineLevel="0" collapsed="false">
      <c r="A22" s="9" t="s">
        <v>30</v>
      </c>
      <c r="B22" s="7" t="n">
        <v>31600</v>
      </c>
      <c r="C22" s="7" t="n">
        <v>4040</v>
      </c>
      <c r="D22" s="7" t="n">
        <v>71662</v>
      </c>
      <c r="E22" s="7" t="n">
        <v>49645</v>
      </c>
      <c r="F22" s="7" t="n">
        <v>7639</v>
      </c>
      <c r="G22" s="8" t="n">
        <f aca="false">ROUND(AVERAGE($B22:$F22),0)</f>
        <v>32917</v>
      </c>
      <c r="H22" s="8" t="n">
        <f aca="false">ROUND(AVERAGE($B22:$F22),0)</f>
        <v>32917</v>
      </c>
      <c r="I22" s="8" t="n">
        <f aca="false">ROUND(AVERAGE($B22:$F22),0)</f>
        <v>32917</v>
      </c>
      <c r="J22" s="8" t="n">
        <f aca="false">ROUND(AVERAGE($B22:$F22),0)</f>
        <v>32917</v>
      </c>
      <c r="K22" s="8" t="n">
        <f aca="false">ROUND(AVERAGE($B22:$F22),0)</f>
        <v>32917</v>
      </c>
      <c r="L22" s="8" t="n">
        <f aca="false">ROUND(AVERAGE($B22:$F22),0)</f>
        <v>32917</v>
      </c>
      <c r="M22" s="8" t="n">
        <f aca="false">ROUND(AVERAGE($B22:$F22),0)</f>
        <v>32917</v>
      </c>
      <c r="N22" s="7" t="n">
        <v>0</v>
      </c>
      <c r="O22" s="11" t="n">
        <f aca="false">SUM(B22:N22)</f>
        <v>395005</v>
      </c>
      <c r="P22" s="7" t="n">
        <v>522774</v>
      </c>
      <c r="Q22" s="11" t="n">
        <f aca="false">O22-P22</f>
        <v>-127769</v>
      </c>
      <c r="R22" s="8" t="n">
        <f aca="false">ROUND(AVERAGE($B22:$F22),0)</f>
        <v>32917</v>
      </c>
      <c r="S22" s="8" t="n">
        <f aca="false">ROUND(AVERAGE($B22:$F22),0)</f>
        <v>32917</v>
      </c>
      <c r="T22" s="8" t="n">
        <f aca="false">ROUND(AVERAGE($B22:$F22),0)</f>
        <v>32917</v>
      </c>
      <c r="U22" s="8" t="n">
        <f aca="false">ROUND(AVERAGE($B22:$F22),0)</f>
        <v>32917</v>
      </c>
      <c r="V22" s="8" t="n">
        <f aca="false">ROUND(AVERAGE($B22:$F22),0)</f>
        <v>32917</v>
      </c>
      <c r="W22" s="11" t="n">
        <f aca="false">SUM(R22:V22)</f>
        <v>164585</v>
      </c>
    </row>
    <row r="23" customFormat="false" ht="15" hidden="false" customHeight="false" outlineLevel="0" collapsed="false">
      <c r="A23" s="9" t="s">
        <v>31</v>
      </c>
      <c r="B23" s="7" t="n">
        <v>30349</v>
      </c>
      <c r="C23" s="7" t="n">
        <v>47171</v>
      </c>
      <c r="D23" s="7" t="n">
        <v>61103</v>
      </c>
      <c r="E23" s="7" t="n">
        <v>48499</v>
      </c>
      <c r="F23" s="7" t="n">
        <v>43764</v>
      </c>
      <c r="G23" s="8" t="n">
        <f aca="false">ROUND(AVERAGE($B23:$F23),0)</f>
        <v>46177</v>
      </c>
      <c r="H23" s="8" t="n">
        <f aca="false">ROUND(AVERAGE($B23:$F23),0)</f>
        <v>46177</v>
      </c>
      <c r="I23" s="8" t="n">
        <f aca="false">ROUND(AVERAGE($B23:$F23),0)</f>
        <v>46177</v>
      </c>
      <c r="J23" s="8" t="n">
        <f aca="false">ROUND(AVERAGE($B23:$F23),0)</f>
        <v>46177</v>
      </c>
      <c r="K23" s="8" t="n">
        <f aca="false">ROUND(AVERAGE($B23:$F23),0)</f>
        <v>46177</v>
      </c>
      <c r="L23" s="8" t="n">
        <f aca="false">ROUND(AVERAGE($B23:$F23),0)</f>
        <v>46177</v>
      </c>
      <c r="M23" s="8" t="n">
        <f aca="false">ROUND(AVERAGE($B23:$F23),0)</f>
        <v>46177</v>
      </c>
      <c r="N23" s="7" t="n">
        <v>0</v>
      </c>
      <c r="O23" s="11" t="n">
        <f aca="false">SUM(B23:N23)</f>
        <v>554125</v>
      </c>
      <c r="P23" s="7" t="n">
        <v>450930</v>
      </c>
      <c r="Q23" s="11" t="n">
        <f aca="false">O23-P23</f>
        <v>103195</v>
      </c>
      <c r="R23" s="8" t="n">
        <f aca="false">ROUND(AVERAGE($B23:$F23),0)</f>
        <v>46177</v>
      </c>
      <c r="S23" s="8" t="n">
        <f aca="false">ROUND(AVERAGE($B23:$F23),0)</f>
        <v>46177</v>
      </c>
      <c r="T23" s="8" t="n">
        <f aca="false">ROUND(AVERAGE($B23:$F23),0)</f>
        <v>46177</v>
      </c>
      <c r="U23" s="8" t="n">
        <f aca="false">ROUND(AVERAGE($B23:$F23),0)</f>
        <v>46177</v>
      </c>
      <c r="V23" s="8" t="n">
        <f aca="false">ROUND(AVERAGE($B23:$F23),0)</f>
        <v>46177</v>
      </c>
      <c r="W23" s="11" t="n">
        <f aca="false">SUM(R23:V23)</f>
        <v>230885</v>
      </c>
    </row>
    <row r="24" customFormat="false" ht="15" hidden="false" customHeight="false" outlineLevel="0" collapsed="false">
      <c r="A24" s="9" t="s">
        <v>32</v>
      </c>
      <c r="B24" s="7" t="n">
        <v>0</v>
      </c>
      <c r="C24" s="7" t="n">
        <v>37364</v>
      </c>
      <c r="D24" s="7" t="n">
        <v>0</v>
      </c>
      <c r="E24" s="7" t="n">
        <v>0</v>
      </c>
      <c r="F24" s="7" t="n">
        <v>0</v>
      </c>
      <c r="G24" s="8" t="n">
        <f aca="false">ROUND(AVERAGE($B24:$F24),0)</f>
        <v>7473</v>
      </c>
      <c r="H24" s="8" t="n">
        <f aca="false">ROUND(AVERAGE($B24:$F24),0)</f>
        <v>7473</v>
      </c>
      <c r="I24" s="8" t="n">
        <f aca="false">ROUND(AVERAGE($B24:$F24),0)</f>
        <v>7473</v>
      </c>
      <c r="J24" s="8" t="n">
        <f aca="false">ROUND(AVERAGE($B24:$F24),0)</f>
        <v>7473</v>
      </c>
      <c r="K24" s="8" t="n">
        <f aca="false">ROUND(AVERAGE($B24:$F24),0)</f>
        <v>7473</v>
      </c>
      <c r="L24" s="8" t="n">
        <f aca="false">ROUND(AVERAGE($B24:$F24),0)</f>
        <v>7473</v>
      </c>
      <c r="M24" s="8" t="n">
        <f aca="false">ROUND(AVERAGE($B24:$F24),0)</f>
        <v>7473</v>
      </c>
      <c r="N24" s="7" t="n">
        <v>0</v>
      </c>
      <c r="O24" s="11" t="n">
        <f aca="false">SUM(B24:N24)</f>
        <v>89675</v>
      </c>
      <c r="P24" s="7" t="n">
        <v>102909</v>
      </c>
      <c r="Q24" s="11" t="n">
        <f aca="false">O24-P24</f>
        <v>-13234</v>
      </c>
      <c r="R24" s="8" t="n">
        <f aca="false">ROUND(AVERAGE($B24:$F24),0)</f>
        <v>7473</v>
      </c>
      <c r="S24" s="8" t="n">
        <f aca="false">ROUND(AVERAGE($B24:$F24),0)</f>
        <v>7473</v>
      </c>
      <c r="T24" s="8" t="n">
        <f aca="false">ROUND(AVERAGE($B24:$F24),0)</f>
        <v>7473</v>
      </c>
      <c r="U24" s="8" t="n">
        <f aca="false">ROUND(AVERAGE($B24:$F24),0)</f>
        <v>7473</v>
      </c>
      <c r="V24" s="8" t="n">
        <f aca="false">ROUND(AVERAGE($B24:$F24),0)</f>
        <v>7473</v>
      </c>
      <c r="W24" s="11" t="n">
        <f aca="false">SUM(R24:V24)</f>
        <v>37365</v>
      </c>
    </row>
    <row r="25" customFormat="false" ht="15" hidden="false" customHeight="false" outlineLevel="0" collapsed="false">
      <c r="A25" s="9" t="s">
        <v>33</v>
      </c>
      <c r="B25" s="7" t="n">
        <v>18952</v>
      </c>
      <c r="C25" s="7" t="n">
        <v>35062</v>
      </c>
      <c r="D25" s="7" t="n">
        <v>85771</v>
      </c>
      <c r="E25" s="7" t="n">
        <v>15372</v>
      </c>
      <c r="F25" s="7" t="n">
        <v>79643</v>
      </c>
      <c r="G25" s="8" t="n">
        <f aca="false">ROUND(AVERAGE($B25:$F25),0)</f>
        <v>46960</v>
      </c>
      <c r="H25" s="8" t="n">
        <f aca="false">ROUND(AVERAGE($B25:$F25),0)</f>
        <v>46960</v>
      </c>
      <c r="I25" s="8" t="n">
        <f aca="false">ROUND(AVERAGE($B25:$F25),0)</f>
        <v>46960</v>
      </c>
      <c r="J25" s="8" t="n">
        <f aca="false">ROUND(AVERAGE($B25:$F25),0)</f>
        <v>46960</v>
      </c>
      <c r="K25" s="8" t="n">
        <f aca="false">ROUND(AVERAGE($B25:$F25),0)</f>
        <v>46960</v>
      </c>
      <c r="L25" s="8" t="n">
        <f aca="false">ROUND(AVERAGE($B25:$F25),0)</f>
        <v>46960</v>
      </c>
      <c r="M25" s="8" t="n">
        <f aca="false">ROUND(AVERAGE($B25:$F25),0)</f>
        <v>46960</v>
      </c>
      <c r="N25" s="7" t="n">
        <v>0</v>
      </c>
      <c r="O25" s="11" t="n">
        <f aca="false">SUM(B25:N25)</f>
        <v>563520</v>
      </c>
      <c r="P25" s="7" t="n">
        <v>284892</v>
      </c>
      <c r="Q25" s="11" t="n">
        <f aca="false">O25-P25</f>
        <v>278628</v>
      </c>
      <c r="R25" s="8" t="n">
        <f aca="false">ROUND(AVERAGE($B25:$F25),0)</f>
        <v>46960</v>
      </c>
      <c r="S25" s="8" t="n">
        <f aca="false">ROUND(AVERAGE($B25:$F25),0)</f>
        <v>46960</v>
      </c>
      <c r="T25" s="8" t="n">
        <f aca="false">ROUND(AVERAGE($B25:$F25),0)</f>
        <v>46960</v>
      </c>
      <c r="U25" s="8" t="n">
        <f aca="false">ROUND(AVERAGE($B25:$F25),0)</f>
        <v>46960</v>
      </c>
      <c r="V25" s="8" t="n">
        <f aca="false">ROUND(AVERAGE($B25:$F25),0)</f>
        <v>46960</v>
      </c>
      <c r="W25" s="11" t="n">
        <f aca="false">SUM(R25:V25)</f>
        <v>234800</v>
      </c>
    </row>
    <row r="26" customFormat="false" ht="15" hidden="false" customHeight="false" outlineLevel="0" collapsed="false">
      <c r="A26" s="9" t="s">
        <v>34</v>
      </c>
      <c r="B26" s="7" t="n">
        <v>0</v>
      </c>
      <c r="C26" s="7" t="n">
        <v>16223</v>
      </c>
      <c r="D26" s="7" t="n">
        <v>13227</v>
      </c>
      <c r="E26" s="7" t="n">
        <v>11834</v>
      </c>
      <c r="F26" s="7" t="n">
        <v>5675</v>
      </c>
      <c r="G26" s="8" t="n">
        <f aca="false">ROUND(AVERAGE($B26:$F26),0)</f>
        <v>9392</v>
      </c>
      <c r="H26" s="8" t="n">
        <f aca="false">ROUND(AVERAGE($B26:$F26),0)</f>
        <v>9392</v>
      </c>
      <c r="I26" s="8" t="n">
        <f aca="false">ROUND(AVERAGE($B26:$F26),0)</f>
        <v>9392</v>
      </c>
      <c r="J26" s="8" t="n">
        <f aca="false">ROUND(AVERAGE($B26:$F26),0)</f>
        <v>9392</v>
      </c>
      <c r="K26" s="8" t="n">
        <f aca="false">ROUND(AVERAGE($B26:$F26),0)</f>
        <v>9392</v>
      </c>
      <c r="L26" s="8" t="n">
        <f aca="false">ROUND(AVERAGE($B26:$F26),0)</f>
        <v>9392</v>
      </c>
      <c r="M26" s="8" t="n">
        <f aca="false">ROUND(AVERAGE($B26:$F26),0)</f>
        <v>9392</v>
      </c>
      <c r="N26" s="7" t="n">
        <v>0</v>
      </c>
      <c r="O26" s="11" t="n">
        <f aca="false">SUM(B26:N26)</f>
        <v>112703</v>
      </c>
      <c r="P26" s="7" t="n">
        <v>114895</v>
      </c>
      <c r="Q26" s="11" t="n">
        <f aca="false">O26-P26</f>
        <v>-2192</v>
      </c>
      <c r="R26" s="8" t="n">
        <f aca="false">ROUND(AVERAGE($B26:$F26),0)</f>
        <v>9392</v>
      </c>
      <c r="S26" s="8" t="n">
        <f aca="false">ROUND(AVERAGE($B26:$F26),0)</f>
        <v>9392</v>
      </c>
      <c r="T26" s="8" t="n">
        <f aca="false">ROUND(AVERAGE($B26:$F26),0)</f>
        <v>9392</v>
      </c>
      <c r="U26" s="8" t="n">
        <f aca="false">ROUND(AVERAGE($B26:$F26),0)</f>
        <v>9392</v>
      </c>
      <c r="V26" s="8" t="n">
        <f aca="false">ROUND(AVERAGE($B26:$F26),0)</f>
        <v>9392</v>
      </c>
      <c r="W26" s="11" t="n">
        <f aca="false">SUM(R26:V26)</f>
        <v>46960</v>
      </c>
    </row>
    <row r="27" customFormat="false" ht="15" hidden="false" customHeight="false" outlineLevel="0" collapsed="false">
      <c r="A27" s="9" t="s">
        <v>35</v>
      </c>
      <c r="B27" s="7" t="n">
        <v>12000</v>
      </c>
      <c r="C27" s="7" t="n">
        <v>12000</v>
      </c>
      <c r="D27" s="7" t="n">
        <v>12000</v>
      </c>
      <c r="E27" s="7" t="n">
        <v>12000</v>
      </c>
      <c r="F27" s="7" t="n">
        <v>12000</v>
      </c>
      <c r="G27" s="10" t="n">
        <f aca="false">前提条件!$B$24</f>
        <v>12000</v>
      </c>
      <c r="H27" s="10" t="n">
        <f aca="false">前提条件!$B$24</f>
        <v>12000</v>
      </c>
      <c r="I27" s="10" t="n">
        <f aca="false">前提条件!$B$24</f>
        <v>12000</v>
      </c>
      <c r="J27" s="10" t="n">
        <f aca="false">前提条件!$B$24</f>
        <v>12000</v>
      </c>
      <c r="K27" s="10" t="n">
        <f aca="false">前提条件!$B$24</f>
        <v>12000</v>
      </c>
      <c r="L27" s="10" t="n">
        <f aca="false">前提条件!$B$24</f>
        <v>12000</v>
      </c>
      <c r="M27" s="10" t="n">
        <f aca="false">前提条件!$B$24</f>
        <v>12000</v>
      </c>
      <c r="N27" s="7" t="n">
        <v>0</v>
      </c>
      <c r="O27" s="11" t="n">
        <f aca="false">SUM(B27:N27)</f>
        <v>144000</v>
      </c>
      <c r="P27" s="7" t="n">
        <v>144000</v>
      </c>
      <c r="Q27" s="11" t="n">
        <f aca="false">O27-P27</f>
        <v>0</v>
      </c>
      <c r="R27" s="10" t="n">
        <f aca="false">前提条件!$B$24</f>
        <v>12000</v>
      </c>
      <c r="S27" s="10" t="n">
        <f aca="false">前提条件!$B$24</f>
        <v>12000</v>
      </c>
      <c r="T27" s="10" t="n">
        <f aca="false">前提条件!$B$24</f>
        <v>12000</v>
      </c>
      <c r="U27" s="10" t="n">
        <f aca="false">前提条件!$B$24</f>
        <v>12000</v>
      </c>
      <c r="V27" s="10" t="n">
        <f aca="false">前提条件!$B$24</f>
        <v>12000</v>
      </c>
      <c r="W27" s="11" t="n">
        <f aca="false">SUM(R27:V27)</f>
        <v>60000</v>
      </c>
    </row>
    <row r="28" customFormat="false" ht="15" hidden="false" customHeight="false" outlineLevel="0" collapsed="false">
      <c r="A28" s="9" t="s">
        <v>36</v>
      </c>
      <c r="B28" s="7" t="n">
        <v>198150</v>
      </c>
      <c r="C28" s="7" t="n">
        <v>198150</v>
      </c>
      <c r="D28" s="7" t="n">
        <v>198150</v>
      </c>
      <c r="E28" s="7" t="n">
        <v>198150</v>
      </c>
      <c r="F28" s="7" t="n">
        <v>334350</v>
      </c>
      <c r="G28" s="10" t="n">
        <f aca="false">前提条件!$B$23</f>
        <v>334350</v>
      </c>
      <c r="H28" s="10" t="n">
        <f aca="false">前提条件!$B$23</f>
        <v>334350</v>
      </c>
      <c r="I28" s="10" t="n">
        <f aca="false">前提条件!$B$23</f>
        <v>334350</v>
      </c>
      <c r="J28" s="10" t="n">
        <f aca="false">前提条件!$B$23</f>
        <v>334350</v>
      </c>
      <c r="K28" s="10" t="n">
        <f aca="false">前提条件!$B$23</f>
        <v>334350</v>
      </c>
      <c r="L28" s="10" t="n">
        <f aca="false">前提条件!$B$23</f>
        <v>334350</v>
      </c>
      <c r="M28" s="10" t="n">
        <f aca="false">前提条件!$B$23</f>
        <v>334350</v>
      </c>
      <c r="N28" s="7" t="n">
        <v>0</v>
      </c>
      <c r="O28" s="11" t="n">
        <f aca="false">SUM(B28:N28)</f>
        <v>3467400</v>
      </c>
      <c r="P28" s="7" t="n">
        <v>241562</v>
      </c>
      <c r="Q28" s="11" t="n">
        <f aca="false">O28-P28</f>
        <v>3225838</v>
      </c>
      <c r="R28" s="10" t="n">
        <f aca="false">前提条件!$B$23</f>
        <v>334350</v>
      </c>
      <c r="S28" s="10" t="n">
        <f aca="false">前提条件!$B$23</f>
        <v>334350</v>
      </c>
      <c r="T28" s="10" t="n">
        <f aca="false">前提条件!$B$23</f>
        <v>334350</v>
      </c>
      <c r="U28" s="10" t="n">
        <f aca="false">前提条件!$B$23</f>
        <v>334350</v>
      </c>
      <c r="V28" s="10" t="n">
        <f aca="false">前提条件!$B$23</f>
        <v>334350</v>
      </c>
      <c r="W28" s="11" t="n">
        <f aca="false">SUM(R28:V28)</f>
        <v>1671750</v>
      </c>
    </row>
    <row r="29" customFormat="false" ht="15" hidden="false" customHeight="false" outlineLevel="0" collapsed="false">
      <c r="A29" s="9" t="s">
        <v>37</v>
      </c>
      <c r="B29" s="7" t="n">
        <v>800</v>
      </c>
      <c r="C29" s="7" t="n">
        <v>70750</v>
      </c>
      <c r="D29" s="7" t="n">
        <v>11190</v>
      </c>
      <c r="E29" s="7" t="n">
        <v>0</v>
      </c>
      <c r="F29" s="7" t="n">
        <v>0</v>
      </c>
      <c r="G29" s="14" t="n">
        <v>0</v>
      </c>
      <c r="H29" s="14" t="n">
        <v>171900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7" t="n">
        <v>0</v>
      </c>
      <c r="O29" s="11" t="n">
        <f aca="false">SUM(B29:N29)</f>
        <v>254640</v>
      </c>
      <c r="P29" s="7" t="n">
        <v>183090</v>
      </c>
      <c r="Q29" s="11" t="n">
        <f aca="false">O29-P29</f>
        <v>71550</v>
      </c>
      <c r="R29" s="14" t="n">
        <v>800</v>
      </c>
      <c r="S29" s="14" t="n">
        <v>70750</v>
      </c>
      <c r="T29" s="14" t="n">
        <v>11190</v>
      </c>
      <c r="U29" s="14" t="n">
        <v>0</v>
      </c>
      <c r="V29" s="14" t="n">
        <v>0</v>
      </c>
      <c r="W29" s="11" t="n">
        <f aca="false">SUM(R29:V29)</f>
        <v>82740</v>
      </c>
    </row>
    <row r="30" customFormat="false" ht="15" hidden="false" customHeight="false" outlineLevel="0" collapsed="false">
      <c r="A30" s="9" t="s">
        <v>38</v>
      </c>
      <c r="B30" s="7" t="n">
        <v>500</v>
      </c>
      <c r="C30" s="7" t="n">
        <v>1040</v>
      </c>
      <c r="D30" s="7" t="n">
        <v>0</v>
      </c>
      <c r="E30" s="7" t="n">
        <v>0</v>
      </c>
      <c r="F30" s="7" t="n">
        <v>0</v>
      </c>
      <c r="G30" s="14" t="n">
        <v>0</v>
      </c>
      <c r="H30" s="14" t="n">
        <v>26900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36000</v>
      </c>
      <c r="N30" s="7" t="n">
        <v>0</v>
      </c>
      <c r="O30" s="11" t="n">
        <f aca="false">SUM(B30:N30)</f>
        <v>64440</v>
      </c>
      <c r="P30" s="7" t="n">
        <v>64940</v>
      </c>
      <c r="Q30" s="11" t="n">
        <f aca="false">O30-P30</f>
        <v>-500</v>
      </c>
      <c r="R30" s="14" t="n">
        <v>500</v>
      </c>
      <c r="S30" s="14" t="n">
        <v>1040</v>
      </c>
      <c r="T30" s="14" t="n">
        <v>0</v>
      </c>
      <c r="U30" s="14" t="n">
        <v>0</v>
      </c>
      <c r="V30" s="14" t="n">
        <v>0</v>
      </c>
      <c r="W30" s="11" t="n">
        <f aca="false">SUM(R30:V30)</f>
        <v>1540</v>
      </c>
    </row>
    <row r="31" customFormat="false" ht="15" hidden="false" customHeight="false" outlineLevel="0" collapsed="false">
      <c r="A31" s="9" t="s">
        <v>39</v>
      </c>
      <c r="B31" s="7" t="n">
        <v>11003</v>
      </c>
      <c r="C31" s="7" t="n">
        <v>22425</v>
      </c>
      <c r="D31" s="7" t="n">
        <v>11083</v>
      </c>
      <c r="E31" s="7" t="n">
        <v>11223</v>
      </c>
      <c r="F31" s="7" t="n">
        <v>26266</v>
      </c>
      <c r="G31" s="8" t="n">
        <f aca="false">ROUND(AVERAGE($B31:$F31),0)</f>
        <v>16400</v>
      </c>
      <c r="H31" s="8" t="n">
        <f aca="false">ROUND(AVERAGE($B31:$F31),0)</f>
        <v>16400</v>
      </c>
      <c r="I31" s="8" t="n">
        <f aca="false">ROUND(AVERAGE($B31:$F31),0)</f>
        <v>16400</v>
      </c>
      <c r="J31" s="8" t="n">
        <f aca="false">ROUND(AVERAGE($B31:$F31),0)</f>
        <v>16400</v>
      </c>
      <c r="K31" s="8" t="n">
        <f aca="false">ROUND(AVERAGE($B31:$F31),0)</f>
        <v>16400</v>
      </c>
      <c r="L31" s="8" t="n">
        <f aca="false">ROUND(AVERAGE($B31:$F31),0)</f>
        <v>16400</v>
      </c>
      <c r="M31" s="8" t="n">
        <f aca="false">ROUND(AVERAGE($B31:$F31),0)</f>
        <v>16400</v>
      </c>
      <c r="N31" s="7" t="n">
        <v>0</v>
      </c>
      <c r="O31" s="11" t="n">
        <f aca="false">SUM(B31:N31)</f>
        <v>196800</v>
      </c>
      <c r="P31" s="7" t="n">
        <v>252555</v>
      </c>
      <c r="Q31" s="11" t="n">
        <f aca="false">O31-P31</f>
        <v>-55755</v>
      </c>
      <c r="R31" s="8" t="n">
        <f aca="false">ROUND(AVERAGE($B31:$F31),0)</f>
        <v>16400</v>
      </c>
      <c r="S31" s="8" t="n">
        <f aca="false">ROUND(AVERAGE($B31:$F31),0)</f>
        <v>16400</v>
      </c>
      <c r="T31" s="8" t="n">
        <f aca="false">ROUND(AVERAGE($B31:$F31),0)</f>
        <v>16400</v>
      </c>
      <c r="U31" s="8" t="n">
        <f aca="false">ROUND(AVERAGE($B31:$F31),0)</f>
        <v>16400</v>
      </c>
      <c r="V31" s="8" t="n">
        <f aca="false">ROUND(AVERAGE($B31:$F31),0)</f>
        <v>16400</v>
      </c>
      <c r="W31" s="11" t="n">
        <f aca="false">SUM(R31:V31)</f>
        <v>82000</v>
      </c>
    </row>
    <row r="32" customFormat="false" ht="15" hidden="false" customHeight="false" outlineLevel="0" collapsed="false">
      <c r="A32" s="9" t="s">
        <v>40</v>
      </c>
      <c r="B32" s="7" t="n">
        <v>29846</v>
      </c>
      <c r="C32" s="7" t="n">
        <v>26741</v>
      </c>
      <c r="D32" s="7" t="n">
        <v>22519</v>
      </c>
      <c r="E32" s="7" t="n">
        <v>142279</v>
      </c>
      <c r="F32" s="7" t="n">
        <v>2541</v>
      </c>
      <c r="G32" s="8" t="n">
        <f aca="false">ROUND(AVERAGE($B32:$F32),0)</f>
        <v>44785</v>
      </c>
      <c r="H32" s="8" t="n">
        <f aca="false">ROUND(AVERAGE($B32:$F32),0)</f>
        <v>44785</v>
      </c>
      <c r="I32" s="8" t="n">
        <f aca="false">ROUND(AVERAGE($B32:$F32),0)</f>
        <v>44785</v>
      </c>
      <c r="J32" s="8" t="n">
        <f aca="false">ROUND(AVERAGE($B32:$F32),0)</f>
        <v>44785</v>
      </c>
      <c r="K32" s="8" t="n">
        <f aca="false">ROUND(AVERAGE($B32:$F32),0)</f>
        <v>44785</v>
      </c>
      <c r="L32" s="8" t="n">
        <f aca="false">ROUND(AVERAGE($B32:$F32),0)</f>
        <v>44785</v>
      </c>
      <c r="M32" s="8" t="n">
        <f aca="false">ROUND(AVERAGE($B32:$F32),0)</f>
        <v>44785</v>
      </c>
      <c r="N32" s="7" t="n">
        <v>0</v>
      </c>
      <c r="O32" s="11" t="n">
        <f aca="false">SUM(B32:N32)</f>
        <v>537421</v>
      </c>
      <c r="P32" s="7" t="n">
        <v>276401</v>
      </c>
      <c r="Q32" s="11" t="n">
        <f aca="false">O32-P32</f>
        <v>261020</v>
      </c>
      <c r="R32" s="8" t="n">
        <f aca="false">ROUND(AVERAGE($B32:$F32),0)</f>
        <v>44785</v>
      </c>
      <c r="S32" s="8" t="n">
        <f aca="false">ROUND(AVERAGE($B32:$F32),0)</f>
        <v>44785</v>
      </c>
      <c r="T32" s="8" t="n">
        <f aca="false">ROUND(AVERAGE($B32:$F32),0)</f>
        <v>44785</v>
      </c>
      <c r="U32" s="8" t="n">
        <f aca="false">ROUND(AVERAGE($B32:$F32),0)</f>
        <v>44785</v>
      </c>
      <c r="V32" s="8" t="n">
        <f aca="false">ROUND(AVERAGE($B32:$F32),0)</f>
        <v>44785</v>
      </c>
      <c r="W32" s="11" t="n">
        <f aca="false">SUM(R32:V32)</f>
        <v>223925</v>
      </c>
    </row>
    <row r="33" customFormat="false" ht="15" hidden="false" customHeight="false" outlineLevel="0" collapsed="false">
      <c r="A33" s="9" t="s">
        <v>41</v>
      </c>
      <c r="B33" s="7" t="n">
        <v>20982</v>
      </c>
      <c r="C33" s="7" t="n">
        <v>12782</v>
      </c>
      <c r="D33" s="7" t="n">
        <v>12782</v>
      </c>
      <c r="E33" s="7" t="n">
        <v>12782</v>
      </c>
      <c r="F33" s="7" t="n">
        <v>12810</v>
      </c>
      <c r="G33" s="8" t="n">
        <f aca="false">ROUND(AVERAGE($B33:$F33),0)</f>
        <v>14428</v>
      </c>
      <c r="H33" s="8" t="n">
        <f aca="false">ROUND(AVERAGE($B33:$F33),0)</f>
        <v>14428</v>
      </c>
      <c r="I33" s="8" t="n">
        <f aca="false">ROUND(AVERAGE($B33:$F33),0)</f>
        <v>14428</v>
      </c>
      <c r="J33" s="8" t="n">
        <f aca="false">ROUND(AVERAGE($B33:$F33),0)</f>
        <v>14428</v>
      </c>
      <c r="K33" s="8" t="n">
        <f aca="false">ROUND(AVERAGE($B33:$F33),0)</f>
        <v>14428</v>
      </c>
      <c r="L33" s="8" t="n">
        <f aca="false">ROUND(AVERAGE($B33:$F33),0)</f>
        <v>14428</v>
      </c>
      <c r="M33" s="8" t="n">
        <f aca="false">ROUND(AVERAGE($B33:$F33),0)</f>
        <v>14428</v>
      </c>
      <c r="N33" s="7" t="n">
        <v>0</v>
      </c>
      <c r="O33" s="11" t="n">
        <f aca="false">SUM(B33:N33)</f>
        <v>173134</v>
      </c>
      <c r="P33" s="7" t="n">
        <v>142311</v>
      </c>
      <c r="Q33" s="11" t="n">
        <f aca="false">O33-P33</f>
        <v>30823</v>
      </c>
      <c r="R33" s="8" t="n">
        <f aca="false">ROUND(AVERAGE($B33:$F33),0)</f>
        <v>14428</v>
      </c>
      <c r="S33" s="8" t="n">
        <f aca="false">ROUND(AVERAGE($B33:$F33),0)</f>
        <v>14428</v>
      </c>
      <c r="T33" s="8" t="n">
        <f aca="false">ROUND(AVERAGE($B33:$F33),0)</f>
        <v>14428</v>
      </c>
      <c r="U33" s="8" t="n">
        <f aca="false">ROUND(AVERAGE($B33:$F33),0)</f>
        <v>14428</v>
      </c>
      <c r="V33" s="8" t="n">
        <f aca="false">ROUND(AVERAGE($B33:$F33),0)</f>
        <v>14428</v>
      </c>
      <c r="W33" s="11" t="n">
        <f aca="false">SUM(R33:V33)</f>
        <v>72140</v>
      </c>
    </row>
    <row r="34" customFormat="false" ht="15" hidden="false" customHeight="false" outlineLevel="0" collapsed="false">
      <c r="A34" s="9" t="s">
        <v>42</v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7" t="n">
        <v>1259910</v>
      </c>
      <c r="O34" s="11" t="n">
        <f aca="false">SUM(B34:N34)</f>
        <v>1259910</v>
      </c>
      <c r="P34" s="7" t="n">
        <v>1068367</v>
      </c>
      <c r="Q34" s="11" t="n">
        <f aca="false">O34-P34</f>
        <v>191543</v>
      </c>
      <c r="R34" s="8" t="n">
        <f aca="false">ROUND(前提条件!$B$30/12,0)</f>
        <v>104993</v>
      </c>
      <c r="S34" s="8" t="n">
        <f aca="false">ROUND(前提条件!$B$30/12,0)</f>
        <v>104993</v>
      </c>
      <c r="T34" s="8" t="n">
        <f aca="false">ROUND(前提条件!$B$30/12,0)</f>
        <v>104993</v>
      </c>
      <c r="U34" s="8" t="n">
        <f aca="false">ROUND(前提条件!$B$30/12,0)</f>
        <v>104993</v>
      </c>
      <c r="V34" s="8" t="n">
        <f aca="false">ROUND(前提条件!$B$30/12,0)</f>
        <v>104993</v>
      </c>
      <c r="W34" s="11" t="n">
        <f aca="false">SUM(R34:V34)</f>
        <v>524965</v>
      </c>
    </row>
    <row r="35" customFormat="false" ht="15" hidden="false" customHeight="false" outlineLevel="0" collapsed="false">
      <c r="A35" s="9" t="s">
        <v>43</v>
      </c>
      <c r="B35" s="7" t="n">
        <v>12604</v>
      </c>
      <c r="C35" s="7" t="n">
        <v>4966</v>
      </c>
      <c r="D35" s="7" t="n">
        <v>63609</v>
      </c>
      <c r="E35" s="7" t="n">
        <v>5422</v>
      </c>
      <c r="F35" s="7" t="n">
        <v>4182</v>
      </c>
      <c r="G35" s="8" t="n">
        <f aca="false">ROUND(AVERAGE($B35:$F35),0)</f>
        <v>18157</v>
      </c>
      <c r="H35" s="8" t="n">
        <f aca="false">ROUND(AVERAGE($B35:$F35),0)</f>
        <v>18157</v>
      </c>
      <c r="I35" s="8" t="n">
        <f aca="false">ROUND(AVERAGE($B35:$F35),0)</f>
        <v>18157</v>
      </c>
      <c r="J35" s="8" t="n">
        <f aca="false">ROUND(AVERAGE($B35:$F35),0)</f>
        <v>18157</v>
      </c>
      <c r="K35" s="8" t="n">
        <f aca="false">ROUND(AVERAGE($B35:$F35),0)</f>
        <v>18157</v>
      </c>
      <c r="L35" s="8" t="n">
        <f aca="false">ROUND(AVERAGE($B35:$F35),0)</f>
        <v>18157</v>
      </c>
      <c r="M35" s="8" t="n">
        <f aca="false">ROUND(AVERAGE($B35:$F35),0)</f>
        <v>18157</v>
      </c>
      <c r="N35" s="7" t="n">
        <v>0</v>
      </c>
      <c r="O35" s="11" t="n">
        <f aca="false">SUM(B35:N35)</f>
        <v>217882</v>
      </c>
      <c r="P35" s="7" t="n">
        <v>107180</v>
      </c>
      <c r="Q35" s="11" t="n">
        <f aca="false">O35-P35</f>
        <v>110702</v>
      </c>
      <c r="R35" s="8" t="n">
        <f aca="false">ROUND(AVERAGE($B35:$F35),0)</f>
        <v>18157</v>
      </c>
      <c r="S35" s="8" t="n">
        <f aca="false">ROUND(AVERAGE($B35:$F35),0)</f>
        <v>18157</v>
      </c>
      <c r="T35" s="8" t="n">
        <f aca="false">ROUND(AVERAGE($B35:$F35),0)</f>
        <v>18157</v>
      </c>
      <c r="U35" s="8" t="n">
        <f aca="false">ROUND(AVERAGE($B35:$F35),0)</f>
        <v>18157</v>
      </c>
      <c r="V35" s="8" t="n">
        <f aca="false">ROUND(AVERAGE($B35:$F35),0)</f>
        <v>18157</v>
      </c>
      <c r="W35" s="11" t="n">
        <f aca="false">SUM(R35:V35)</f>
        <v>90785</v>
      </c>
    </row>
    <row r="36" customFormat="false" ht="15" hidden="false" customHeight="false" outlineLevel="0" collapsed="false">
      <c r="A36" s="12" t="s">
        <v>44</v>
      </c>
      <c r="B36" s="13" t="n">
        <f aca="false">SUM(B13,B14,B15,B16,B17,B18,B19,B20,B21,B22,B23,B24,B25,B26,B27,B28,B29,B30,B31,B32,B33,B34,B35)</f>
        <v>2725169</v>
      </c>
      <c r="C36" s="13" t="n">
        <f aca="false">SUM(C13,C14,C15,C16,C17,C18,C19,C20,C21,C22,C23,C24,C25,C26,C27,C28,C29,C30,C31,C32,C33,C34,C35)</f>
        <v>2337547</v>
      </c>
      <c r="D36" s="13" t="n">
        <f aca="false">SUM(D13,D14,D15,D16,D17,D18,D19,D20,D21,D22,D23,D24,D25,D26,D27,D28,D29,D30,D31,D32,D33,D34,D35)</f>
        <v>2746604</v>
      </c>
      <c r="E36" s="13" t="n">
        <f aca="false">SUM(E13,E14,E15,E16,E17,E18,E19,E20,E21,E22,E23,E24,E25,E26,E27,E28,E29,E30,E31,E32,E33,E34,E35)</f>
        <v>2810603</v>
      </c>
      <c r="F36" s="13" t="n">
        <f aca="false">SUM(F13,F14,F15,F16,F17,F18,F19,F20,F21,F22,F23,F24,F25,F26,F27,F28,F29,F30,F31,F32,F33,F34,F35)</f>
        <v>2470673</v>
      </c>
      <c r="G36" s="13" t="n">
        <f aca="false">SUM(G13,G14,G15,G16,G17,G18,G19,G20,G21,G22,G23,G24,G25,G26,G27,G28,G29,G30,G31,G32,G33,G34,G35)</f>
        <v>3099514</v>
      </c>
      <c r="H36" s="13" t="n">
        <f aca="false">SUM(H13,H14,H15,H16,H17,H18,H19,H20,H21,H22,H23,H24,H25,H26,H27,H28,H29,H30,H31,H32,H33,H34,H35)</f>
        <v>3877689</v>
      </c>
      <c r="I36" s="13" t="n">
        <f aca="false">SUM(I13,I14,I15,I16,I17,I18,I19,I20,I21,I22,I23,I24,I25,I26,I27,I28,I29,I30,I31,I32,I33,I34,I35)</f>
        <v>3099514</v>
      </c>
      <c r="J36" s="13" t="n">
        <f aca="false">SUM(J13,J14,J15,J16,J17,J18,J19,J20,J21,J22,J23,J24,J25,J26,J27,J28,J29,J30,J31,J32,J33,J34,J35)</f>
        <v>3099514</v>
      </c>
      <c r="K36" s="13" t="n">
        <f aca="false">SUM(K13,K14,K15,K16,K17,K18,K19,K20,K21,K22,K23,K24,K25,K26,K27,K28,K29,K30,K31,K32,K33,K34,K35)</f>
        <v>3099514</v>
      </c>
      <c r="L36" s="13" t="n">
        <f aca="false">SUM(L13,L14,L15,L16,L17,L18,L19,L20,L21,L22,L23,L24,L25,L26,L27,L28,L29,L30,L31,L32,L33,L34,L35)</f>
        <v>3099514</v>
      </c>
      <c r="M36" s="13" t="n">
        <f aca="false">SUM(M13,M14,M15,M16,M17,M18,M19,M20,M21,M22,M23,M24,M25,M26,M27,M28,M29,M30,M31,M32,M33,M34,M35)</f>
        <v>3135514</v>
      </c>
      <c r="N36" s="13" t="n">
        <f aca="false">SUM(N13,N14,N15,N16,N17,N18,N19,N20,N21,N22,N23,N24,N25,N26,N27,N28,N29,N30,N31,N32,N33,N34,N35)</f>
        <v>1259910</v>
      </c>
      <c r="O36" s="13" t="n">
        <f aca="false">SUM(B36:N36)</f>
        <v>36861279</v>
      </c>
      <c r="P36" s="13" t="n">
        <f aca="false">SUM(P13,P14,P15,P16,P17,P18,P19,P20,P21,P22,P23,P24,P25,P26,P27,P28,P29,P30,P31,P32,P33,P34,P35)</f>
        <v>22171529</v>
      </c>
      <c r="Q36" s="13" t="n">
        <f aca="false">O36-P36</f>
        <v>14689750</v>
      </c>
      <c r="R36" s="13" t="n">
        <f aca="false">SUM(R13,R14,R15,R16,R17,R18,R19,R20,R21,R22,R23,R24,R25,R26,R27,R28,R29,R30,R31,R32,R33,R34,R35)</f>
        <v>3669307</v>
      </c>
      <c r="S36" s="13" t="n">
        <f aca="false">SUM(S13,S14,S15,S16,S17,S18,S19,S20,S21,S22,S23,S24,S25,S26,S27,S28,S29,S30,S31,S32,S33,S34,S35)</f>
        <v>3276297</v>
      </c>
      <c r="T36" s="13" t="n">
        <f aca="false">SUM(T13,T14,T15,T16,T17,T18,T19,T20,T21,T22,T23,T24,T25,T26,T27,T28,T29,T30,T31,T32,T33,T34,T35)</f>
        <v>3215697</v>
      </c>
      <c r="U36" s="13" t="n">
        <f aca="false">SUM(U13,U14,U15,U16,U17,U18,U19,U20,U21,U22,U23,U24,U25,U26,U27,U28,U29,U30,U31,U32,U33,U34,U35)</f>
        <v>3204507</v>
      </c>
      <c r="V36" s="13" t="n">
        <f aca="false">SUM(V13,V14,V15,V16,V17,V18,V19,V20,V21,V22,V23,V24,V25,V26,V27,V28,V29,V30,V31,V32,V33,V34,V35)</f>
        <v>3204507</v>
      </c>
      <c r="W36" s="13" t="n">
        <f aca="false">SUM(R36:V36)</f>
        <v>16570315</v>
      </c>
    </row>
    <row r="37" customFormat="false" ht="15" hidden="false" customHeight="false" outlineLevel="0" collapsed="false">
      <c r="A37" s="15" t="s">
        <v>45</v>
      </c>
      <c r="B37" s="16" t="n">
        <f aca="false">B11-B36</f>
        <v>-227727</v>
      </c>
      <c r="C37" s="16" t="n">
        <f aca="false">C11-C36</f>
        <v>359895</v>
      </c>
      <c r="D37" s="16" t="n">
        <f aca="false">D11-D36</f>
        <v>941747</v>
      </c>
      <c r="E37" s="16" t="n">
        <f aca="false">E11-E36</f>
        <v>278879</v>
      </c>
      <c r="F37" s="16" t="n">
        <f aca="false">F11-F36</f>
        <v>623078</v>
      </c>
      <c r="G37" s="16" t="n">
        <f aca="false">G11-G36</f>
        <v>-9857</v>
      </c>
      <c r="H37" s="16" t="n">
        <f aca="false">H11-H36</f>
        <v>-788032</v>
      </c>
      <c r="I37" s="16" t="n">
        <f aca="false">I11-I36</f>
        <v>-9857</v>
      </c>
      <c r="J37" s="16" t="n">
        <f aca="false">J11-J36</f>
        <v>-9857</v>
      </c>
      <c r="K37" s="16" t="n">
        <f aca="false">K11-K36</f>
        <v>-9857</v>
      </c>
      <c r="L37" s="16" t="n">
        <f aca="false">L11-L36</f>
        <v>-9857</v>
      </c>
      <c r="M37" s="16" t="n">
        <f aca="false">M11-M36</f>
        <v>-45857</v>
      </c>
      <c r="N37" s="16" t="n">
        <f aca="false">N11-N36</f>
        <v>-1259910</v>
      </c>
      <c r="O37" s="16" t="n">
        <f aca="false">SUM(B37:N37)</f>
        <v>-167212</v>
      </c>
      <c r="P37" s="16" t="n">
        <f aca="false">P11-P36</f>
        <v>2771942</v>
      </c>
      <c r="Q37" s="16" t="n">
        <f aca="false">O37-P37</f>
        <v>-2939154</v>
      </c>
      <c r="R37" s="16" t="n">
        <f aca="false">R11-R36</f>
        <v>-579650</v>
      </c>
      <c r="S37" s="16" t="n">
        <f aca="false">S11-S36</f>
        <v>-186640</v>
      </c>
      <c r="T37" s="16" t="n">
        <f aca="false">T11-T36</f>
        <v>-126040</v>
      </c>
      <c r="U37" s="16" t="n">
        <f aca="false">U11-U36</f>
        <v>-114850</v>
      </c>
      <c r="V37" s="16" t="n">
        <f aca="false">V11-V36</f>
        <v>-114850</v>
      </c>
      <c r="W37" s="16" t="n">
        <f aca="false">SUM(R37:V37)</f>
        <v>-1122030</v>
      </c>
    </row>
    <row r="38" customFormat="false" ht="15" hidden="false" customHeight="false" outlineLevel="0" collapsed="false">
      <c r="A38" s="6" t="s">
        <v>46</v>
      </c>
      <c r="B38" s="7"/>
      <c r="C38" s="7"/>
      <c r="D38" s="7"/>
      <c r="E38" s="7"/>
      <c r="F38" s="7"/>
      <c r="G38" s="8"/>
      <c r="H38" s="8"/>
      <c r="I38" s="8"/>
      <c r="J38" s="8"/>
      <c r="K38" s="8"/>
      <c r="L38" s="8"/>
      <c r="M38" s="8"/>
      <c r="N38" s="7"/>
      <c r="O38" s="8"/>
      <c r="P38" s="8"/>
      <c r="Q38" s="8"/>
      <c r="R38" s="8"/>
      <c r="S38" s="8"/>
      <c r="T38" s="8"/>
      <c r="U38" s="8"/>
      <c r="V38" s="8"/>
      <c r="W38" s="8"/>
    </row>
    <row r="39" customFormat="false" ht="15" hidden="false" customHeight="false" outlineLevel="0" collapsed="false">
      <c r="A39" s="9" t="s">
        <v>47</v>
      </c>
      <c r="B39" s="7" t="n">
        <v>2416</v>
      </c>
      <c r="C39" s="7" t="n">
        <v>1891</v>
      </c>
      <c r="D39" s="7" t="n">
        <v>2309</v>
      </c>
      <c r="E39" s="7" t="n">
        <v>2984</v>
      </c>
      <c r="F39" s="7" t="n">
        <v>1899</v>
      </c>
      <c r="G39" s="8" t="n">
        <f aca="false">ROUND(AVERAGE($B39:$F39),0)</f>
        <v>2300</v>
      </c>
      <c r="H39" s="8" t="n">
        <f aca="false">ROUND(AVERAGE($B39:$F39),0)</f>
        <v>2300</v>
      </c>
      <c r="I39" s="8" t="n">
        <f aca="false">ROUND(AVERAGE($B39:$F39),0)</f>
        <v>2300</v>
      </c>
      <c r="J39" s="8" t="n">
        <f aca="false">ROUND(AVERAGE($B39:$F39),0)</f>
        <v>2300</v>
      </c>
      <c r="K39" s="8" t="n">
        <f aca="false">ROUND(AVERAGE($B39:$F39),0)</f>
        <v>2300</v>
      </c>
      <c r="L39" s="8" t="n">
        <f aca="false">ROUND(AVERAGE($B39:$F39),0)</f>
        <v>2300</v>
      </c>
      <c r="M39" s="8" t="n">
        <f aca="false">ROUND(AVERAGE($B39:$F39),0)</f>
        <v>2300</v>
      </c>
      <c r="N39" s="7" t="n">
        <v>0</v>
      </c>
      <c r="O39" s="11" t="n">
        <f aca="false">SUM(B39:N39)</f>
        <v>27599</v>
      </c>
      <c r="P39" s="7" t="n">
        <v>16707</v>
      </c>
      <c r="Q39" s="11" t="n">
        <f aca="false">O39-P39</f>
        <v>10892</v>
      </c>
      <c r="R39" s="8" t="n">
        <f aca="false">ROUND(AVERAGE($B39:$F39),0)</f>
        <v>2300</v>
      </c>
      <c r="S39" s="8" t="n">
        <f aca="false">ROUND(AVERAGE($B39:$F39),0)</f>
        <v>2300</v>
      </c>
      <c r="T39" s="8" t="n">
        <f aca="false">ROUND(AVERAGE($B39:$F39),0)</f>
        <v>2300</v>
      </c>
      <c r="U39" s="8" t="n">
        <f aca="false">ROUND(AVERAGE($B39:$F39),0)</f>
        <v>2300</v>
      </c>
      <c r="V39" s="8" t="n">
        <f aca="false">ROUND(AVERAGE($B39:$F39),0)</f>
        <v>2300</v>
      </c>
      <c r="W39" s="11" t="n">
        <f aca="false">SUM(R39:V39)</f>
        <v>11500</v>
      </c>
    </row>
    <row r="40" customFormat="false" ht="15" hidden="false" customHeight="false" outlineLevel="0" collapsed="false">
      <c r="A40" s="9" t="s">
        <v>48</v>
      </c>
      <c r="B40" s="7" t="n">
        <v>1497</v>
      </c>
      <c r="C40" s="7" t="n">
        <v>0</v>
      </c>
      <c r="D40" s="7" t="n">
        <v>0</v>
      </c>
      <c r="E40" s="7" t="n">
        <v>0</v>
      </c>
      <c r="F40" s="7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7" t="n">
        <v>0</v>
      </c>
      <c r="O40" s="11" t="n">
        <f aca="false">SUM(B40:N40)</f>
        <v>1497</v>
      </c>
      <c r="P40" s="7" t="n">
        <v>1000</v>
      </c>
      <c r="Q40" s="11" t="n">
        <f aca="false">O40-P40</f>
        <v>497</v>
      </c>
      <c r="R40" s="14" t="n">
        <v>1497</v>
      </c>
      <c r="S40" s="14" t="n">
        <v>0</v>
      </c>
      <c r="T40" s="14" t="n">
        <v>0</v>
      </c>
      <c r="U40" s="14" t="n">
        <v>0</v>
      </c>
      <c r="V40" s="14" t="n">
        <v>0</v>
      </c>
      <c r="W40" s="11" t="n">
        <f aca="false">SUM(R40:V40)</f>
        <v>1497</v>
      </c>
    </row>
    <row r="41" customFormat="false" ht="15" hidden="false" customHeight="false" outlineLevel="0" collapsed="false">
      <c r="A41" s="9" t="s">
        <v>49</v>
      </c>
      <c r="B41" s="7" t="n">
        <v>0</v>
      </c>
      <c r="C41" s="7" t="n">
        <v>0</v>
      </c>
      <c r="D41" s="7" t="n">
        <v>499254</v>
      </c>
      <c r="E41" s="7" t="n">
        <v>0</v>
      </c>
      <c r="F41" s="7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7" t="n">
        <v>0</v>
      </c>
      <c r="O41" s="11" t="n">
        <f aca="false">SUM(B41:N41)</f>
        <v>499254</v>
      </c>
      <c r="P41" s="7" t="n">
        <v>734195</v>
      </c>
      <c r="Q41" s="11" t="n">
        <f aca="false">O41-P41</f>
        <v>-234941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1" t="n">
        <f aca="false">SUM(R41:V41)</f>
        <v>0</v>
      </c>
    </row>
    <row r="42" customFormat="false" ht="15" hidden="false" customHeight="false" outlineLevel="0" collapsed="false">
      <c r="A42" s="17" t="s">
        <v>50</v>
      </c>
      <c r="B42" s="18" t="n">
        <f aca="false">SUM(B39,B40,B41)</f>
        <v>3913</v>
      </c>
      <c r="C42" s="18" t="n">
        <f aca="false">SUM(C39,C40,C41)</f>
        <v>1891</v>
      </c>
      <c r="D42" s="18" t="n">
        <f aca="false">SUM(D39,D40,D41)</f>
        <v>501563</v>
      </c>
      <c r="E42" s="18" t="n">
        <f aca="false">SUM(E39,E40,E41)</f>
        <v>2984</v>
      </c>
      <c r="F42" s="18" t="n">
        <f aca="false">SUM(F39,F40,F41)</f>
        <v>1899</v>
      </c>
      <c r="G42" s="11" t="n">
        <f aca="false">SUM(G39,G40,G41)</f>
        <v>2300</v>
      </c>
      <c r="H42" s="11" t="n">
        <f aca="false">SUM(H39,H40,H41)</f>
        <v>2300</v>
      </c>
      <c r="I42" s="11" t="n">
        <f aca="false">SUM(I39,I40,I41)</f>
        <v>2300</v>
      </c>
      <c r="J42" s="11" t="n">
        <f aca="false">SUM(J39,J40,J41)</f>
        <v>2300</v>
      </c>
      <c r="K42" s="11" t="n">
        <f aca="false">SUM(K39,K40,K41)</f>
        <v>2300</v>
      </c>
      <c r="L42" s="11" t="n">
        <f aca="false">SUM(L39,L40,L41)</f>
        <v>2300</v>
      </c>
      <c r="M42" s="11" t="n">
        <f aca="false">SUM(M39,M40,M41)</f>
        <v>2300</v>
      </c>
      <c r="N42" s="18" t="n">
        <f aca="false">SUM(N39,N40,N41)</f>
        <v>0</v>
      </c>
      <c r="O42" s="11" t="n">
        <f aca="false">SUM(B42:N42)</f>
        <v>528350</v>
      </c>
      <c r="P42" s="11" t="n">
        <f aca="false">SUM(P39,P40,P41)</f>
        <v>751902</v>
      </c>
      <c r="Q42" s="11" t="n">
        <f aca="false">O42-P42</f>
        <v>-223552</v>
      </c>
      <c r="R42" s="11" t="n">
        <f aca="false">SUM(R39,R40,R41)</f>
        <v>3797</v>
      </c>
      <c r="S42" s="11" t="n">
        <f aca="false">SUM(S39,S40,S41)</f>
        <v>2300</v>
      </c>
      <c r="T42" s="11" t="n">
        <f aca="false">SUM(T39,T40,T41)</f>
        <v>2300</v>
      </c>
      <c r="U42" s="11" t="n">
        <f aca="false">SUM(U39,U40,U41)</f>
        <v>2300</v>
      </c>
      <c r="V42" s="11" t="n">
        <f aca="false">SUM(V39,V40,V41)</f>
        <v>2300</v>
      </c>
      <c r="W42" s="11" t="n">
        <f aca="false">SUM(R42:V42)</f>
        <v>12997</v>
      </c>
    </row>
    <row r="43" customFormat="false" ht="15" hidden="false" customHeight="false" outlineLevel="0" collapsed="false">
      <c r="A43" s="9" t="s">
        <v>51</v>
      </c>
      <c r="B43" s="7" t="n">
        <v>6919</v>
      </c>
      <c r="C43" s="7" t="n">
        <v>7234</v>
      </c>
      <c r="D43" s="7" t="n">
        <v>7736</v>
      </c>
      <c r="E43" s="7" t="n">
        <v>7479</v>
      </c>
      <c r="F43" s="7" t="n">
        <v>7361</v>
      </c>
      <c r="G43" s="10" t="n">
        <f aca="false">前提条件!$B$25</f>
        <v>7361</v>
      </c>
      <c r="H43" s="10" t="n">
        <f aca="false">前提条件!$B$25</f>
        <v>7361</v>
      </c>
      <c r="I43" s="10" t="n">
        <f aca="false">前提条件!$B$25</f>
        <v>7361</v>
      </c>
      <c r="J43" s="10" t="n">
        <f aca="false">前提条件!$B$25</f>
        <v>7361</v>
      </c>
      <c r="K43" s="10" t="n">
        <f aca="false">前提条件!$B$25</f>
        <v>7361</v>
      </c>
      <c r="L43" s="10" t="n">
        <f aca="false">前提条件!$B$25</f>
        <v>7361</v>
      </c>
      <c r="M43" s="10" t="n">
        <f aca="false">前提条件!$B$25</f>
        <v>7361</v>
      </c>
      <c r="N43" s="7" t="n">
        <v>0</v>
      </c>
      <c r="O43" s="11" t="n">
        <f aca="false">SUM(B43:N43)</f>
        <v>88256</v>
      </c>
      <c r="P43" s="7" t="n">
        <v>91781</v>
      </c>
      <c r="Q43" s="11" t="n">
        <f aca="false">O43-P43</f>
        <v>-3525</v>
      </c>
      <c r="R43" s="10" t="n">
        <f aca="false">前提条件!$B$25</f>
        <v>7361</v>
      </c>
      <c r="S43" s="10" t="n">
        <f aca="false">前提条件!$B$25</f>
        <v>7361</v>
      </c>
      <c r="T43" s="10" t="n">
        <f aca="false">前提条件!$B$25</f>
        <v>7361</v>
      </c>
      <c r="U43" s="10" t="n">
        <f aca="false">前提条件!$B$25</f>
        <v>7361</v>
      </c>
      <c r="V43" s="10" t="n">
        <f aca="false">前提条件!$B$25</f>
        <v>7361</v>
      </c>
      <c r="W43" s="11" t="n">
        <f aca="false">SUM(R43:V43)</f>
        <v>36805</v>
      </c>
    </row>
    <row r="44" customFormat="false" ht="15" hidden="false" customHeight="false" outlineLevel="0" collapsed="false">
      <c r="A44" s="17" t="s">
        <v>52</v>
      </c>
      <c r="B44" s="18" t="n">
        <f aca="false">SUM(B43)</f>
        <v>6919</v>
      </c>
      <c r="C44" s="18" t="n">
        <f aca="false">SUM(C43)</f>
        <v>7234</v>
      </c>
      <c r="D44" s="18" t="n">
        <f aca="false">SUM(D43)</f>
        <v>7736</v>
      </c>
      <c r="E44" s="18" t="n">
        <f aca="false">SUM(E43)</f>
        <v>7479</v>
      </c>
      <c r="F44" s="18" t="n">
        <f aca="false">SUM(F43)</f>
        <v>7361</v>
      </c>
      <c r="G44" s="11" t="n">
        <f aca="false">SUM(G43)</f>
        <v>7361</v>
      </c>
      <c r="H44" s="11" t="n">
        <f aca="false">SUM(H43)</f>
        <v>7361</v>
      </c>
      <c r="I44" s="11" t="n">
        <f aca="false">SUM(I43)</f>
        <v>7361</v>
      </c>
      <c r="J44" s="11" t="n">
        <f aca="false">SUM(J43)</f>
        <v>7361</v>
      </c>
      <c r="K44" s="11" t="n">
        <f aca="false">SUM(K43)</f>
        <v>7361</v>
      </c>
      <c r="L44" s="11" t="n">
        <f aca="false">SUM(L43)</f>
        <v>7361</v>
      </c>
      <c r="M44" s="11" t="n">
        <f aca="false">SUM(M43)</f>
        <v>7361</v>
      </c>
      <c r="N44" s="18" t="n">
        <f aca="false">SUM(N43)</f>
        <v>0</v>
      </c>
      <c r="O44" s="11" t="n">
        <f aca="false">SUM(B44:N44)</f>
        <v>88256</v>
      </c>
      <c r="P44" s="11" t="n">
        <f aca="false">SUM(P43)</f>
        <v>91781</v>
      </c>
      <c r="Q44" s="11" t="n">
        <f aca="false">O44-P44</f>
        <v>-3525</v>
      </c>
      <c r="R44" s="11" t="n">
        <f aca="false">SUM(R43)</f>
        <v>7361</v>
      </c>
      <c r="S44" s="11" t="n">
        <f aca="false">SUM(S43)</f>
        <v>7361</v>
      </c>
      <c r="T44" s="11" t="n">
        <f aca="false">SUM(T43)</f>
        <v>7361</v>
      </c>
      <c r="U44" s="11" t="n">
        <f aca="false">SUM(U43)</f>
        <v>7361</v>
      </c>
      <c r="V44" s="11" t="n">
        <f aca="false">SUM(V43)</f>
        <v>7361</v>
      </c>
      <c r="W44" s="11" t="n">
        <f aca="false">SUM(R44:V44)</f>
        <v>36805</v>
      </c>
    </row>
    <row r="45" customFormat="false" ht="15" hidden="false" customHeight="false" outlineLevel="0" collapsed="false">
      <c r="A45" s="15" t="s">
        <v>53</v>
      </c>
      <c r="B45" s="16" t="n">
        <f aca="false">B37+B42-B44</f>
        <v>-230733</v>
      </c>
      <c r="C45" s="16" t="n">
        <f aca="false">C37+C42-C44</f>
        <v>354552</v>
      </c>
      <c r="D45" s="16" t="n">
        <f aca="false">D37+D42-D44</f>
        <v>1435574</v>
      </c>
      <c r="E45" s="16" t="n">
        <f aca="false">E37+E42-E44</f>
        <v>274384</v>
      </c>
      <c r="F45" s="16" t="n">
        <f aca="false">F37+F42-F44</f>
        <v>617616</v>
      </c>
      <c r="G45" s="16" t="n">
        <f aca="false">G37+G42-G44</f>
        <v>-14918</v>
      </c>
      <c r="H45" s="16" t="n">
        <f aca="false">H37+H42-H44</f>
        <v>-793093</v>
      </c>
      <c r="I45" s="16" t="n">
        <f aca="false">I37+I42-I44</f>
        <v>-14918</v>
      </c>
      <c r="J45" s="16" t="n">
        <f aca="false">J37+J42-J44</f>
        <v>-14918</v>
      </c>
      <c r="K45" s="16" t="n">
        <f aca="false">K37+K42-K44</f>
        <v>-14918</v>
      </c>
      <c r="L45" s="16" t="n">
        <f aca="false">L37+L42-L44</f>
        <v>-14918</v>
      </c>
      <c r="M45" s="16" t="n">
        <f aca="false">M37+M42-M44</f>
        <v>-50918</v>
      </c>
      <c r="N45" s="16" t="n">
        <f aca="false">N37+N42-N44</f>
        <v>-1259910</v>
      </c>
      <c r="O45" s="16" t="n">
        <f aca="false">SUM(B45:N45)</f>
        <v>272882</v>
      </c>
      <c r="P45" s="16" t="n">
        <f aca="false">P37+P42-P44</f>
        <v>3432063</v>
      </c>
      <c r="Q45" s="16" t="n">
        <f aca="false">O45-P45</f>
        <v>-3159181</v>
      </c>
      <c r="R45" s="16" t="n">
        <f aca="false">R37+R42-R44</f>
        <v>-583214</v>
      </c>
      <c r="S45" s="16" t="n">
        <f aca="false">S37+S42-S44</f>
        <v>-191701</v>
      </c>
      <c r="T45" s="16" t="n">
        <f aca="false">T37+T42-T44</f>
        <v>-131101</v>
      </c>
      <c r="U45" s="16" t="n">
        <f aca="false">U37+U42-U44</f>
        <v>-119911</v>
      </c>
      <c r="V45" s="16" t="n">
        <f aca="false">V37+V42-V44</f>
        <v>-119911</v>
      </c>
      <c r="W45" s="16" t="n">
        <f aca="false">SUM(R45:V45)</f>
        <v>-1145838</v>
      </c>
    </row>
    <row r="46" customFormat="false" ht="15" hidden="false" customHeight="false" outlineLevel="0" collapsed="false">
      <c r="A46" s="6" t="s">
        <v>54</v>
      </c>
      <c r="B46" s="18" t="n">
        <f aca="false">B45</f>
        <v>-230733</v>
      </c>
      <c r="C46" s="18" t="n">
        <f aca="false">C45</f>
        <v>354552</v>
      </c>
      <c r="D46" s="18" t="n">
        <f aca="false">D45</f>
        <v>1435574</v>
      </c>
      <c r="E46" s="18" t="n">
        <f aca="false">E45</f>
        <v>274384</v>
      </c>
      <c r="F46" s="18" t="n">
        <f aca="false">F45</f>
        <v>617616</v>
      </c>
      <c r="G46" s="11" t="n">
        <f aca="false">G45</f>
        <v>-14918</v>
      </c>
      <c r="H46" s="11" t="n">
        <f aca="false">H45</f>
        <v>-793093</v>
      </c>
      <c r="I46" s="11" t="n">
        <f aca="false">I45</f>
        <v>-14918</v>
      </c>
      <c r="J46" s="11" t="n">
        <f aca="false">J45</f>
        <v>-14918</v>
      </c>
      <c r="K46" s="11" t="n">
        <f aca="false">K45</f>
        <v>-14918</v>
      </c>
      <c r="L46" s="11" t="n">
        <f aca="false">L45</f>
        <v>-14918</v>
      </c>
      <c r="M46" s="11" t="n">
        <f aca="false">M45</f>
        <v>-50918</v>
      </c>
      <c r="N46" s="18" t="n">
        <f aca="false">N45</f>
        <v>-1259910</v>
      </c>
      <c r="O46" s="11" t="n">
        <f aca="false">SUM(B46:N46)</f>
        <v>272882</v>
      </c>
      <c r="P46" s="11" t="n">
        <f aca="false">P45</f>
        <v>3432063</v>
      </c>
      <c r="Q46" s="11" t="n">
        <f aca="false">O46-P46</f>
        <v>-3159181</v>
      </c>
      <c r="R46" s="11" t="n">
        <f aca="false">R45</f>
        <v>-583214</v>
      </c>
      <c r="S46" s="11" t="n">
        <f aca="false">S45</f>
        <v>-191701</v>
      </c>
      <c r="T46" s="11" t="n">
        <f aca="false">T45</f>
        <v>-131101</v>
      </c>
      <c r="U46" s="11" t="n">
        <f aca="false">U45</f>
        <v>-119911</v>
      </c>
      <c r="V46" s="11" t="n">
        <f aca="false">V45</f>
        <v>-119911</v>
      </c>
      <c r="W46" s="11" t="n">
        <f aca="false">SUM(R46:V46)</f>
        <v>-1145838</v>
      </c>
    </row>
    <row r="47" customFormat="false" ht="15" hidden="false" customHeight="false" outlineLevel="0" collapsed="false">
      <c r="A47" s="9" t="s">
        <v>55</v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7" t="n">
        <f aca="false">MAX(前提条件!$B$29,ROUND(SUM(B46:N46)*前提条件!$B$28,0))</f>
        <v>70000</v>
      </c>
      <c r="O47" s="11" t="n">
        <f aca="false">SUM(B47:N47)</f>
        <v>70000</v>
      </c>
      <c r="P47" s="7" t="n">
        <v>701453</v>
      </c>
      <c r="Q47" s="11" t="n">
        <f aca="false">O47-P47</f>
        <v>-631453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1" t="n">
        <f aca="false">SUM(R47:V47)</f>
        <v>0</v>
      </c>
    </row>
    <row r="48" customFormat="false" ht="15" hidden="false" customHeight="false" outlineLevel="0" collapsed="false">
      <c r="A48" s="15" t="s">
        <v>56</v>
      </c>
      <c r="B48" s="16" t="n">
        <f aca="false">B46-B47</f>
        <v>-230733</v>
      </c>
      <c r="C48" s="16" t="n">
        <f aca="false">C46-C47</f>
        <v>354552</v>
      </c>
      <c r="D48" s="16" t="n">
        <f aca="false">D46-D47</f>
        <v>1435574</v>
      </c>
      <c r="E48" s="16" t="n">
        <f aca="false">E46-E47</f>
        <v>274384</v>
      </c>
      <c r="F48" s="16" t="n">
        <f aca="false">F46-F47</f>
        <v>617616</v>
      </c>
      <c r="G48" s="16" t="n">
        <f aca="false">G46-G47</f>
        <v>-14918</v>
      </c>
      <c r="H48" s="16" t="n">
        <f aca="false">H46-H47</f>
        <v>-793093</v>
      </c>
      <c r="I48" s="16" t="n">
        <f aca="false">I46-I47</f>
        <v>-14918</v>
      </c>
      <c r="J48" s="16" t="n">
        <f aca="false">J46-J47</f>
        <v>-14918</v>
      </c>
      <c r="K48" s="16" t="n">
        <f aca="false">K46-K47</f>
        <v>-14918</v>
      </c>
      <c r="L48" s="16" t="n">
        <f aca="false">L46-L47</f>
        <v>-14918</v>
      </c>
      <c r="M48" s="16" t="n">
        <f aca="false">M46-M47</f>
        <v>-50918</v>
      </c>
      <c r="N48" s="16" t="n">
        <f aca="false">N46-N47</f>
        <v>-1329910</v>
      </c>
      <c r="O48" s="16" t="n">
        <f aca="false">SUM(B48:N48)</f>
        <v>202882</v>
      </c>
      <c r="P48" s="16" t="n">
        <f aca="false">P46-P47</f>
        <v>2730610</v>
      </c>
      <c r="Q48" s="16" t="n">
        <f aca="false">O48-P48</f>
        <v>-2527728</v>
      </c>
      <c r="R48" s="16" t="n">
        <f aca="false">R46-R47</f>
        <v>-583214</v>
      </c>
      <c r="S48" s="16" t="n">
        <f aca="false">S46-S47</f>
        <v>-191701</v>
      </c>
      <c r="T48" s="16" t="n">
        <f aca="false">T46-T47</f>
        <v>-131101</v>
      </c>
      <c r="U48" s="16" t="n">
        <f aca="false">U46-U47</f>
        <v>-119911</v>
      </c>
      <c r="V48" s="16" t="n">
        <f aca="false">V46-V47</f>
        <v>-119911</v>
      </c>
      <c r="W48" s="16" t="n">
        <f aca="false">SUM(R48:V48)</f>
        <v>-1145838</v>
      </c>
    </row>
    <row r="49" customFormat="false" ht="15" hidden="false" customHeight="false" outlineLevel="0" collapsed="false">
      <c r="A49" s="17" t="s">
        <v>57</v>
      </c>
      <c r="B49" s="7" t="n">
        <f aca="false">B45</f>
        <v>-230733</v>
      </c>
      <c r="C49" s="7" t="n">
        <f aca="false">B49+C45</f>
        <v>123819</v>
      </c>
      <c r="D49" s="7" t="n">
        <f aca="false">C49+D45</f>
        <v>1559393</v>
      </c>
      <c r="E49" s="7" t="n">
        <f aca="false">D49+E45</f>
        <v>1833777</v>
      </c>
      <c r="F49" s="7" t="n">
        <f aca="false">E49+F45</f>
        <v>2451393</v>
      </c>
      <c r="G49" s="8" t="n">
        <f aca="false">F49+G45</f>
        <v>2436475</v>
      </c>
      <c r="H49" s="8" t="n">
        <f aca="false">G49+H45</f>
        <v>1643382</v>
      </c>
      <c r="I49" s="8" t="n">
        <f aca="false">H49+I45</f>
        <v>1628464</v>
      </c>
      <c r="J49" s="8" t="n">
        <f aca="false">I49+J45</f>
        <v>1613546</v>
      </c>
      <c r="K49" s="8" t="n">
        <f aca="false">J49+K45</f>
        <v>1598628</v>
      </c>
      <c r="L49" s="8" t="n">
        <f aca="false">K49+L45</f>
        <v>1583710</v>
      </c>
      <c r="M49" s="8" t="n">
        <f aca="false">L49+M45</f>
        <v>1532792</v>
      </c>
      <c r="N49" s="7" t="n">
        <f aca="false">M49+N45</f>
        <v>272882</v>
      </c>
      <c r="O49" s="8"/>
      <c r="P49" s="8"/>
      <c r="Q49" s="8"/>
      <c r="R49" s="8" t="n">
        <f aca="false">R45</f>
        <v>-583214</v>
      </c>
      <c r="S49" s="8" t="n">
        <f aca="false">R49+S45</f>
        <v>-774915</v>
      </c>
      <c r="T49" s="8" t="n">
        <f aca="false">S49+T45</f>
        <v>-906016</v>
      </c>
      <c r="U49" s="8" t="n">
        <f aca="false">T49+U45</f>
        <v>-1025927</v>
      </c>
      <c r="V49" s="8" t="n">
        <f aca="false">U49+V45</f>
        <v>-1145838</v>
      </c>
      <c r="W49" s="8"/>
    </row>
    <row r="50" customFormat="false" ht="15" hidden="false" customHeight="false" outlineLevel="0" collapsed="false">
      <c r="A50" s="17"/>
      <c r="B50" s="7"/>
      <c r="C50" s="7"/>
      <c r="D50" s="7"/>
      <c r="E50" s="7"/>
      <c r="F50" s="7"/>
      <c r="G50" s="8"/>
      <c r="H50" s="8"/>
      <c r="I50" s="8"/>
      <c r="J50" s="8"/>
      <c r="K50" s="8"/>
      <c r="L50" s="8"/>
      <c r="M50" s="8"/>
      <c r="N50" s="7"/>
      <c r="O50" s="8"/>
      <c r="P50" s="8"/>
      <c r="Q50" s="8"/>
      <c r="R50" s="8"/>
      <c r="S50" s="8"/>
      <c r="T50" s="8"/>
      <c r="U50" s="8"/>
      <c r="V50" s="8"/>
      <c r="W50" s="8"/>
    </row>
    <row r="51" customFormat="false" ht="15" hidden="false" customHeight="false" outlineLevel="0" collapsed="false">
      <c r="A51" s="12" t="s">
        <v>58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customFormat="false" ht="15" hidden="false" customHeight="false" outlineLevel="0" collapsed="false">
      <c r="A52" s="9" t="s">
        <v>59</v>
      </c>
      <c r="B52" s="7" t="n">
        <f aca="false">B15+B18+IF(AND(B15&gt;0,OR(MONTH(B$5)=12,MONTH(B$5)=6)),前提条件!$B$7,0)</f>
        <v>0</v>
      </c>
      <c r="C52" s="7" t="n">
        <f aca="false">C15+C18+IF(AND(C15&gt;0,OR(MONTH(C$5)=12,MONTH(C$5)=6)),前提条件!$B$7,0)</f>
        <v>0</v>
      </c>
      <c r="D52" s="7" t="n">
        <f aca="false">D15+D18+IF(AND(D15&gt;0,OR(MONTH(D$5)=12,MONTH(D$5)=6)),前提条件!$B$7,0)</f>
        <v>0</v>
      </c>
      <c r="E52" s="7" t="n">
        <f aca="false">E15+E18+IF(AND(E15&gt;0,OR(MONTH(E$5)=12,MONTH(E$5)=6)),前提条件!$B$7,0)</f>
        <v>0</v>
      </c>
      <c r="F52" s="7" t="n">
        <f aca="false">F15+F18+IF(AND(F15&gt;0,OR(MONTH(F$5)=12,MONTH(F$5)=6)),前提条件!$B$7,0)</f>
        <v>0</v>
      </c>
      <c r="G52" s="8" t="n">
        <f aca="false">G15+G18+IF(AND(G15&gt;0,OR(MONTH(G$5)=12,MONTH(G$5)=6)),前提条件!$B$7,0)</f>
        <v>324450</v>
      </c>
      <c r="H52" s="8" t="n">
        <f aca="false">H15+H18+IF(AND(H15&gt;0,OR(MONTH(H$5)=12,MONTH(H$5)=6)),前提条件!$B$7,0)</f>
        <v>324450</v>
      </c>
      <c r="I52" s="8" t="n">
        <f aca="false">I15+I18+IF(AND(I15&gt;0,OR(MONTH(I$5)=12,MONTH(I$5)=6)),前提条件!$B$7,0)</f>
        <v>324450</v>
      </c>
      <c r="J52" s="8" t="n">
        <f aca="false">J15+J18+IF(AND(J15&gt;0,OR(MONTH(J$5)=12,MONTH(J$5)=6)),前提条件!$B$7,0)</f>
        <v>324450</v>
      </c>
      <c r="K52" s="8" t="n">
        <f aca="false">K15+K18+IF(AND(K15&gt;0,OR(MONTH(K$5)=12,MONTH(K$5)=6)),前提条件!$B$7,0)</f>
        <v>324450</v>
      </c>
      <c r="L52" s="8" t="n">
        <f aca="false">L15+L18+IF(AND(L15&gt;0,OR(MONTH(L$5)=12,MONTH(L$5)=6)),前提条件!$B$7,0)</f>
        <v>324450</v>
      </c>
      <c r="M52" s="8" t="n">
        <f aca="false">M15+M18+IF(AND(M15&gt;0,OR(MONTH(M$5)=12,MONTH(M$5)=6)),前提条件!$B$7,0)</f>
        <v>324450</v>
      </c>
      <c r="N52" s="7" t="n">
        <v>0</v>
      </c>
      <c r="O52" s="11" t="n">
        <f aca="false">SUM(B52:N52)</f>
        <v>2271150</v>
      </c>
      <c r="P52" s="8"/>
      <c r="Q52" s="8"/>
      <c r="R52" s="8" t="n">
        <f aca="false">R15+R18+IF(AND(R15&gt;0,OR(MONTH(R$5)=12,MONTH(R$5)=6)),前提条件!$B$7,0)</f>
        <v>324450</v>
      </c>
      <c r="S52" s="8" t="n">
        <f aca="false">S15+S18+IF(AND(S15&gt;0,OR(MONTH(S$5)=12,MONTH(S$5)=6)),前提条件!$B$7,0)</f>
        <v>324450</v>
      </c>
      <c r="T52" s="8" t="n">
        <f aca="false">T15+T18+IF(AND(T15&gt;0,OR(MONTH(T$5)=12,MONTH(T$5)=6)),前提条件!$B$7,0)</f>
        <v>324450</v>
      </c>
      <c r="U52" s="8" t="n">
        <f aca="false">U15+U18+IF(AND(U15&gt;0,OR(MONTH(U$5)=12,MONTH(U$5)=6)),前提条件!$B$7,0)</f>
        <v>324450</v>
      </c>
      <c r="V52" s="8" t="n">
        <f aca="false">V15+V18+IF(AND(V15&gt;0,OR(MONTH(V$5)=12,MONTH(V$5)=6)),前提条件!$B$7,0)</f>
        <v>324450</v>
      </c>
      <c r="W52" s="11" t="n">
        <f aca="false">SUM(R52:V52)</f>
        <v>1622250</v>
      </c>
    </row>
    <row r="53" customFormat="false" ht="15" hidden="false" customHeight="false" outlineLevel="0" collapsed="false">
      <c r="A53" s="9" t="s">
        <v>60</v>
      </c>
      <c r="B53" s="7" t="n">
        <f aca="false">B45+B52</f>
        <v>-230733</v>
      </c>
      <c r="C53" s="7" t="n">
        <f aca="false">C45+C52</f>
        <v>354552</v>
      </c>
      <c r="D53" s="7" t="n">
        <f aca="false">D45+D52</f>
        <v>1435574</v>
      </c>
      <c r="E53" s="7" t="n">
        <f aca="false">E45+E52</f>
        <v>274384</v>
      </c>
      <c r="F53" s="7" t="n">
        <f aca="false">F45+F52</f>
        <v>617616</v>
      </c>
      <c r="G53" s="8" t="n">
        <f aca="false">G45+G52</f>
        <v>309532</v>
      </c>
      <c r="H53" s="8" t="n">
        <f aca="false">H45+H52</f>
        <v>-468643</v>
      </c>
      <c r="I53" s="8" t="n">
        <f aca="false">I45+I52</f>
        <v>309532</v>
      </c>
      <c r="J53" s="8" t="n">
        <f aca="false">J45+J52</f>
        <v>309532</v>
      </c>
      <c r="K53" s="8" t="n">
        <f aca="false">K45+K52</f>
        <v>309532</v>
      </c>
      <c r="L53" s="8" t="n">
        <f aca="false">L45+L52</f>
        <v>309532</v>
      </c>
      <c r="M53" s="8" t="n">
        <f aca="false">M45+M52</f>
        <v>273532</v>
      </c>
      <c r="N53" s="7" t="n">
        <f aca="false">N45+N52</f>
        <v>-1259910</v>
      </c>
      <c r="O53" s="11" t="n">
        <f aca="false">SUM(B53:N53)</f>
        <v>2544032</v>
      </c>
      <c r="P53" s="8"/>
      <c r="Q53" s="8"/>
      <c r="R53" s="8" t="n">
        <f aca="false">R45+R52</f>
        <v>-258764</v>
      </c>
      <c r="S53" s="8" t="n">
        <f aca="false">S45+S52</f>
        <v>132749</v>
      </c>
      <c r="T53" s="8" t="n">
        <f aca="false">T45+T52</f>
        <v>193349</v>
      </c>
      <c r="U53" s="8" t="n">
        <f aca="false">U45+U52</f>
        <v>204539</v>
      </c>
      <c r="V53" s="8" t="n">
        <f aca="false">V45+V52</f>
        <v>204539</v>
      </c>
      <c r="W53" s="11" t="n">
        <f aca="false">SUM(R53:V53)</f>
        <v>476412</v>
      </c>
    </row>
    <row r="54" customFormat="false" ht="15" hidden="false" customHeight="false" outlineLevel="0" collapsed="false">
      <c r="A54" s="9" t="s">
        <v>61</v>
      </c>
      <c r="B54" s="7" t="n">
        <f aca="false">B9-560000</f>
        <v>1937442</v>
      </c>
      <c r="C54" s="7" t="n">
        <f aca="false">C9-560000</f>
        <v>2137442</v>
      </c>
      <c r="D54" s="7" t="n">
        <f aca="false">D9-760000</f>
        <v>2928351</v>
      </c>
      <c r="E54" s="7" t="n">
        <f aca="false">E9-760000</f>
        <v>2329482</v>
      </c>
      <c r="F54" s="7" t="n">
        <f aca="false">F9-760000</f>
        <v>2333751</v>
      </c>
      <c r="G54" s="8" t="n">
        <f aca="false">G9-760000</f>
        <v>2329657</v>
      </c>
      <c r="H54" s="8" t="n">
        <f aca="false">H9-760000</f>
        <v>2329657</v>
      </c>
      <c r="I54" s="8" t="n">
        <f aca="false">I9-760000</f>
        <v>2329657</v>
      </c>
      <c r="J54" s="8" t="n">
        <f aca="false">J9-760000</f>
        <v>2329657</v>
      </c>
      <c r="K54" s="8" t="n">
        <f aca="false">K9-760000</f>
        <v>2329657</v>
      </c>
      <c r="L54" s="8" t="n">
        <f aca="false">L9-760000</f>
        <v>2329657</v>
      </c>
      <c r="M54" s="8" t="n">
        <f aca="false">M9-760000</f>
        <v>2329657</v>
      </c>
      <c r="N54" s="7"/>
      <c r="O54" s="11" t="n">
        <f aca="false">SUM(B54:M54)</f>
        <v>27974067</v>
      </c>
      <c r="P54" s="8"/>
      <c r="Q54" s="8"/>
      <c r="R54" s="8" t="n">
        <f aca="false">R9-760000</f>
        <v>2329657</v>
      </c>
      <c r="S54" s="8" t="n">
        <f aca="false">S9-760000</f>
        <v>2329657</v>
      </c>
      <c r="T54" s="8" t="n">
        <f aca="false">T9-760000</f>
        <v>2329657</v>
      </c>
      <c r="U54" s="8" t="n">
        <f aca="false">U9-760000</f>
        <v>2329657</v>
      </c>
      <c r="V54" s="8" t="n">
        <f aca="false">V9-760000</f>
        <v>2329657</v>
      </c>
      <c r="W54" s="11" t="n">
        <f aca="false">SUM(R54:V54)</f>
        <v>11648285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20" t="s">
        <v>62</v>
      </c>
    </row>
    <row r="4" customFormat="false" ht="15" hidden="false" customHeight="false" outlineLevel="0" collapsed="false">
      <c r="A4" s="21" t="s">
        <v>63</v>
      </c>
      <c r="B4" s="22"/>
      <c r="C4" s="22"/>
    </row>
    <row r="5" customFormat="false" ht="15" hidden="false" customHeight="false" outlineLevel="0" collapsed="false">
      <c r="A5" s="23" t="s">
        <v>64</v>
      </c>
      <c r="B5" s="24" t="n">
        <v>46327</v>
      </c>
      <c r="C5" s="2" t="s">
        <v>65</v>
      </c>
    </row>
    <row r="6" customFormat="false" ht="15" hidden="false" customHeight="false" outlineLevel="0" collapsed="false">
      <c r="A6" s="23" t="s">
        <v>66</v>
      </c>
      <c r="B6" s="25" t="n">
        <v>280000</v>
      </c>
      <c r="C6" s="2" t="s">
        <v>67</v>
      </c>
    </row>
    <row r="7" customFormat="false" ht="15" hidden="false" customHeight="false" outlineLevel="0" collapsed="false">
      <c r="A7" s="23" t="s">
        <v>68</v>
      </c>
      <c r="B7" s="25" t="n">
        <v>0</v>
      </c>
      <c r="C7" s="2" t="s">
        <v>69</v>
      </c>
    </row>
    <row r="9" customFormat="false" ht="15" hidden="false" customHeight="false" outlineLevel="0" collapsed="false">
      <c r="A9" s="21" t="s">
        <v>70</v>
      </c>
      <c r="B9" s="22"/>
      <c r="C9" s="22"/>
    </row>
    <row r="10" customFormat="false" ht="15" hidden="false" customHeight="false" outlineLevel="0" collapsed="false">
      <c r="A10" s="23" t="s">
        <v>71</v>
      </c>
      <c r="B10" s="26" t="n">
        <v>0.051</v>
      </c>
      <c r="C10" s="2" t="s">
        <v>72</v>
      </c>
    </row>
    <row r="11" customFormat="false" ht="15" hidden="false" customHeight="false" outlineLevel="0" collapsed="false">
      <c r="A11" s="23" t="s">
        <v>73</v>
      </c>
      <c r="B11" s="27" t="n">
        <v>0.0915</v>
      </c>
      <c r="C11" s="28" t="s">
        <v>74</v>
      </c>
    </row>
    <row r="12" customFormat="false" ht="15" hidden="false" customHeight="false" outlineLevel="0" collapsed="false">
      <c r="A12" s="23" t="s">
        <v>75</v>
      </c>
      <c r="B12" s="26" t="n">
        <v>0.00115</v>
      </c>
      <c r="C12" s="28" t="s">
        <v>76</v>
      </c>
    </row>
    <row r="13" customFormat="false" ht="15" hidden="false" customHeight="false" outlineLevel="0" collapsed="false">
      <c r="A13" s="23" t="s">
        <v>77</v>
      </c>
      <c r="B13" s="27" t="n">
        <v>0.0036</v>
      </c>
      <c r="C13" s="2" t="s">
        <v>78</v>
      </c>
    </row>
    <row r="14" customFormat="false" ht="15" hidden="false" customHeight="false" outlineLevel="0" collapsed="false">
      <c r="A14" s="23" t="s">
        <v>79</v>
      </c>
      <c r="B14" s="26" t="n">
        <v>0.0085</v>
      </c>
      <c r="C14" s="2" t="s">
        <v>80</v>
      </c>
    </row>
    <row r="15" customFormat="false" ht="15" hidden="false" customHeight="false" outlineLevel="0" collapsed="false">
      <c r="A15" s="23" t="s">
        <v>81</v>
      </c>
      <c r="B15" s="27" t="n">
        <v>0.003</v>
      </c>
      <c r="C15" s="2" t="s">
        <v>82</v>
      </c>
    </row>
    <row r="16" customFormat="false" ht="15" hidden="false" customHeight="false" outlineLevel="0" collapsed="false">
      <c r="A16" s="29" t="s">
        <v>83</v>
      </c>
      <c r="B16" s="30" t="n">
        <f aca="false">SUM(B10:B15)</f>
        <v>0.15875</v>
      </c>
      <c r="C16" s="2" t="s">
        <v>84</v>
      </c>
    </row>
    <row r="18" customFormat="false" ht="15" hidden="false" customHeight="false" outlineLevel="0" collapsed="false">
      <c r="A18" s="21" t="s">
        <v>85</v>
      </c>
      <c r="B18" s="22"/>
      <c r="C18" s="22"/>
    </row>
    <row r="19" customFormat="false" ht="15" hidden="false" customHeight="false" outlineLevel="0" collapsed="false">
      <c r="A19" s="23" t="s">
        <v>15</v>
      </c>
      <c r="B19" s="25" t="n">
        <v>3088351</v>
      </c>
      <c r="C19" s="28" t="s">
        <v>86</v>
      </c>
    </row>
    <row r="20" customFormat="false" ht="15" hidden="false" customHeight="false" outlineLevel="0" collapsed="false">
      <c r="A20" s="23" t="s">
        <v>21</v>
      </c>
      <c r="B20" s="31" t="n">
        <v>1450000</v>
      </c>
      <c r="C20" s="28" t="s">
        <v>87</v>
      </c>
    </row>
    <row r="21" customFormat="false" ht="15" hidden="false" customHeight="false" outlineLevel="0" collapsed="false">
      <c r="A21" s="23" t="s">
        <v>88</v>
      </c>
      <c r="B21" s="31" t="n">
        <v>335000</v>
      </c>
      <c r="C21" s="28" t="s">
        <v>89</v>
      </c>
    </row>
    <row r="22" customFormat="false" ht="15" hidden="false" customHeight="false" outlineLevel="0" collapsed="false">
      <c r="A22" s="23" t="s">
        <v>90</v>
      </c>
      <c r="B22" s="31" t="n">
        <v>176167</v>
      </c>
      <c r="C22" s="28" t="s">
        <v>91</v>
      </c>
    </row>
    <row r="23" customFormat="false" ht="15" hidden="false" customHeight="false" outlineLevel="0" collapsed="false">
      <c r="A23" s="23" t="s">
        <v>36</v>
      </c>
      <c r="B23" s="31" t="n">
        <v>334350</v>
      </c>
      <c r="C23" s="28" t="s">
        <v>92</v>
      </c>
    </row>
    <row r="24" customFormat="false" ht="15" hidden="false" customHeight="false" outlineLevel="0" collapsed="false">
      <c r="A24" s="23" t="s">
        <v>35</v>
      </c>
      <c r="B24" s="31" t="n">
        <v>12000</v>
      </c>
      <c r="C24" s="2" t="s">
        <v>93</v>
      </c>
    </row>
    <row r="25" customFormat="false" ht="15" hidden="false" customHeight="false" outlineLevel="0" collapsed="false">
      <c r="A25" s="23" t="s">
        <v>51</v>
      </c>
      <c r="B25" s="31" t="n">
        <v>7361</v>
      </c>
      <c r="C25" s="28" t="s">
        <v>94</v>
      </c>
    </row>
    <row r="27" customFormat="false" ht="15" hidden="false" customHeight="false" outlineLevel="0" collapsed="false">
      <c r="A27" s="21" t="s">
        <v>95</v>
      </c>
      <c r="B27" s="22"/>
      <c r="C27" s="22"/>
    </row>
    <row r="28" customFormat="false" ht="15" hidden="false" customHeight="false" outlineLevel="0" collapsed="false">
      <c r="A28" s="23" t="s">
        <v>96</v>
      </c>
      <c r="B28" s="26" t="n">
        <v>0.2044</v>
      </c>
      <c r="C28" s="2" t="s">
        <v>97</v>
      </c>
    </row>
    <row r="29" customFormat="false" ht="15" hidden="false" customHeight="false" outlineLevel="0" collapsed="false">
      <c r="A29" s="23" t="s">
        <v>98</v>
      </c>
      <c r="B29" s="31" t="n">
        <v>70000</v>
      </c>
      <c r="C29" s="2" t="s">
        <v>99</v>
      </c>
    </row>
    <row r="30" customFormat="false" ht="15" hidden="false" customHeight="false" outlineLevel="0" collapsed="false">
      <c r="A30" s="32" t="s">
        <v>100</v>
      </c>
      <c r="B30" s="25" t="n">
        <v>1259910</v>
      </c>
      <c r="C30" s="2" t="s">
        <v>101</v>
      </c>
    </row>
    <row r="32" customFormat="false" ht="15" hidden="false" customHeight="false" outlineLevel="0" collapsed="false">
      <c r="A32" s="29" t="s">
        <v>102</v>
      </c>
    </row>
    <row r="33" customFormat="false" ht="15" hidden="false" customHeight="false" outlineLevel="0" collapsed="false">
      <c r="A33" s="2" t="s">
        <v>103</v>
      </c>
    </row>
    <row r="34" customFormat="false" ht="15" hidden="false" customHeight="false" outlineLevel="0" collapsed="false">
      <c r="A34" s="2" t="s">
        <v>104</v>
      </c>
    </row>
    <row r="35" customFormat="false" ht="15" hidden="false" customHeight="false" outlineLevel="0" collapsed="false">
      <c r="A35" s="2" t="s">
        <v>105</v>
      </c>
    </row>
    <row r="36" customFormat="false" ht="15" hidden="false" customHeight="false" outlineLevel="0" collapsed="false">
      <c r="A36" s="2" t="s">
        <v>106</v>
      </c>
    </row>
    <row r="37" customFormat="false" ht="15" hidden="false" customHeight="false" outlineLevel="0" collapsed="false">
      <c r="A37" s="28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2026-10-31T20:07:27Z</dcterms:created>
  <dc:creator>openpyxl</dc:creator>
  <dc:description/>
  <dc:language>en-US</dc:language>
  <cp:lastModifiedBy/>
  <dcterms:modified xsi:type="dcterms:W3CDTF">2026-10-31T20:07:27Z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