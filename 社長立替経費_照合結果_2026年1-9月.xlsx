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報告サマリー" sheetId="1" state="visible" r:id="rId3"/>
    <sheet name="照合一覧" sheetId="2" state="visible" r:id="rId4"/>
    <sheet name="デビット重複" sheetId="3" state="visible" r:id="rId5"/>
  </sheets>
  <definedNames>
    <definedName function="false" hidden="true" localSheetId="2" name="_xlnm._FilterDatabase" vbProcedure="false">デビット重複!$A$4:$J$52</definedName>
    <definedName function="false" hidden="false" localSheetId="1" name="_xlnm.Print_Titles" vbProcedure="false">照合一覧!$4:$4</definedName>
    <definedName function="false" hidden="true" localSheetId="1" name="_xlnm._FilterDatabase" vbProcedure="false">照合一覧!$A$4:$O$137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<sst xmlns="http://schemas.openxmlformats.org/spreadsheetml/2006/main" count="1621" uniqueCount="617">
  <si>
    <r>
      <rPr>
        <b val="true"/>
        <sz val="14"/>
        <rFont val="WenQuanYi Zen Hei"/>
        <family val="2"/>
      </rPr>
      <t xml:space="preserve">社長立替経費（</t>
    </r>
    <r>
      <rPr>
        <b val="true"/>
        <sz val="14"/>
        <rFont val="Arial"/>
        <family val="0"/>
        <charset val="1"/>
      </rPr>
      <t xml:space="preserve">2026</t>
    </r>
    <r>
      <rPr>
        <b val="true"/>
        <sz val="14"/>
        <rFont val="WenQuanYi Zen Hei"/>
        <family val="2"/>
      </rPr>
      <t xml:space="preserve">年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〜</t>
    </r>
    <r>
      <rPr>
        <b val="true"/>
        <sz val="14"/>
        <rFont val="Arial"/>
        <family val="0"/>
        <charset val="1"/>
      </rPr>
      <t xml:space="preserve">9</t>
    </r>
    <r>
      <rPr>
        <b val="true"/>
        <sz val="14"/>
        <rFont val="WenQuanYi Zen Hei"/>
        <family val="2"/>
      </rPr>
      <t xml:space="preserve">月）マネーフォワード登録状況 報告</t>
    </r>
  </si>
  <si>
    <r>
      <rPr>
        <sz val="9"/>
        <color rgb="FF595959"/>
        <rFont val="WenQuanYi Zen Hei"/>
        <family val="2"/>
      </rPr>
      <t xml:space="preserve">合同会社クレア／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WenQuanYi Zen Hei"/>
        <family val="2"/>
      </rPr>
      <t xml:space="preserve">月期（</t>
    </r>
    <r>
      <rPr>
        <sz val="9"/>
        <color rgb="FF595959"/>
        <rFont val="Arial"/>
        <family val="0"/>
        <charset val="1"/>
      </rPr>
      <t xml:space="preserve">2026/1/1</t>
    </r>
    <r>
      <rPr>
        <sz val="9"/>
        <color rgb="FF595959"/>
        <rFont val="WenQuanYi Zen Hei"/>
        <family val="2"/>
      </rPr>
      <t xml:space="preserve">〜</t>
    </r>
    <r>
      <rPr>
        <sz val="9"/>
        <color rgb="FF595959"/>
        <rFont val="Arial"/>
        <family val="0"/>
        <charset val="1"/>
      </rPr>
      <t xml:space="preserve">11/30</t>
    </r>
    <r>
      <rPr>
        <sz val="9"/>
        <color rgb="FF595959"/>
        <rFont val="WenQuanYi Zen Hei"/>
        <family val="2"/>
      </rPr>
      <t xml:space="preserve">）　作成日：</t>
    </r>
    <r>
      <rPr>
        <sz val="9"/>
        <color rgb="FF595959"/>
        <rFont val="Arial"/>
        <family val="0"/>
        <charset val="1"/>
      </rPr>
      <t xml:space="preserve">2026/10/14</t>
    </r>
    <r>
      <rPr>
        <sz val="9"/>
        <color rgb="FF595959"/>
        <rFont val="WenQuanYi Zen Hei"/>
        <family val="2"/>
      </rPr>
      <t xml:space="preserve">（デビット重複削除後に再照合）　元データ：社長立替経費</t>
    </r>
    <r>
      <rPr>
        <sz val="9"/>
        <color rgb="FF595959"/>
        <rFont val="Arial"/>
        <family val="0"/>
        <charset val="1"/>
      </rPr>
      <t xml:space="preserve">CSV 133</t>
    </r>
    <r>
      <rPr>
        <sz val="9"/>
        <color rgb="FF595959"/>
        <rFont val="WenQuanYi Zen Hei"/>
        <family val="2"/>
      </rPr>
      <t xml:space="preserve">件</t>
    </r>
  </si>
  <si>
    <r>
      <rPr>
        <b val="true"/>
        <sz val="12"/>
        <color rgb="FF1F3864"/>
        <rFont val="Arial"/>
        <family val="0"/>
        <charset val="1"/>
      </rPr>
      <t xml:space="preserve">1. CSV 133</t>
    </r>
    <r>
      <rPr>
        <b val="true"/>
        <sz val="12"/>
        <color rgb="FF1F3864"/>
        <rFont val="WenQuanYi Zen Hei"/>
        <family val="2"/>
      </rPr>
      <t xml:space="preserve">件の登録状況</t>
    </r>
  </si>
  <si>
    <t xml:space="preserve">区分</t>
  </si>
  <si>
    <t xml:space="preserve">件数</t>
  </si>
  <si>
    <r>
      <rPr>
        <b val="true"/>
        <sz val="11"/>
        <color rgb="FFFFFFFF"/>
        <rFont val="Arial"/>
        <family val="0"/>
        <charset val="1"/>
      </rPr>
      <t xml:space="preserve">CSV</t>
    </r>
    <r>
      <rPr>
        <b val="true"/>
        <sz val="11"/>
        <color rgb="FFFFFFFF"/>
        <rFont val="WenQuanYi Zen Hei"/>
        <family val="2"/>
      </rPr>
      <t xml:space="preserve">金額（円）</t>
    </r>
  </si>
  <si>
    <r>
      <rPr>
        <b val="true"/>
        <sz val="11"/>
        <color rgb="FFFFFFFF"/>
        <rFont val="Arial"/>
        <family val="0"/>
        <charset val="1"/>
      </rPr>
      <t xml:space="preserve">MF</t>
    </r>
    <r>
      <rPr>
        <b val="true"/>
        <sz val="11"/>
        <color rgb="FFFFFFFF"/>
        <rFont val="WenQuanYi Zen Hei"/>
        <family val="2"/>
      </rPr>
      <t xml:space="preserve">計上額（円）</t>
    </r>
  </si>
  <si>
    <t xml:space="preserve">内容</t>
  </si>
  <si>
    <t xml:space="preserve">今回追加登録</t>
  </si>
  <si>
    <r>
      <rPr>
        <sz val="10"/>
        <rFont val="WenQuanYi Zen Hei"/>
        <family val="2"/>
      </rPr>
      <t xml:space="preserve">マネーフォワードに未登録だったため、</t>
    </r>
    <r>
      <rPr>
        <sz val="10"/>
        <rFont val="Arial"/>
        <family val="0"/>
        <charset val="1"/>
      </rPr>
      <t xml:space="preserve">10/14</t>
    </r>
    <r>
      <rPr>
        <sz val="10"/>
        <rFont val="WenQuanYi Zen Hei"/>
        <family val="2"/>
      </rPr>
      <t xml:space="preserve">に社長立替経費で新規登録</t>
    </r>
  </si>
  <si>
    <t xml:space="preserve">既存登録済み</t>
  </si>
  <si>
    <t xml:space="preserve">もともと社長立替経費で登録済み（今回は登録していない）</t>
  </si>
  <si>
    <t xml:space="preserve">合計</t>
  </si>
  <si>
    <r>
      <rPr>
        <sz val="9"/>
        <color rgb="FF595959"/>
        <rFont val="Arial"/>
        <family val="0"/>
        <charset val="1"/>
      </rPr>
      <t xml:space="preserve">※ CSV</t>
    </r>
    <r>
      <rPr>
        <sz val="9"/>
        <color rgb="FF595959"/>
        <rFont val="WenQuanYi Zen Hei"/>
        <family val="2"/>
      </rPr>
      <t xml:space="preserve">金額と</t>
    </r>
    <r>
      <rPr>
        <sz val="9"/>
        <color rgb="FF595959"/>
        <rFont val="Arial"/>
        <family val="0"/>
        <charset val="1"/>
      </rPr>
      <t xml:space="preserve">MF</t>
    </r>
    <r>
      <rPr>
        <sz val="9"/>
        <color rgb="FF595959"/>
        <rFont val="WenQuanYi Zen Hei"/>
        <family val="2"/>
      </rPr>
      <t xml:space="preserve">計上額の差 </t>
    </r>
    <r>
      <rPr>
        <sz val="9"/>
        <color rgb="FF595959"/>
        <rFont val="Arial"/>
        <family val="0"/>
        <charset val="1"/>
      </rPr>
      <t xml:space="preserve">3,100</t>
    </r>
    <r>
      <rPr>
        <sz val="9"/>
        <color rgb="FF595959"/>
        <rFont val="WenQuanYi Zen Hei"/>
        <family val="2"/>
      </rPr>
      <t xml:space="preserve">円：</t>
    </r>
    <r>
      <rPr>
        <sz val="9"/>
        <color rgb="FF595959"/>
        <rFont val="Arial"/>
        <family val="0"/>
        <charset val="1"/>
      </rPr>
      <t xml:space="preserve">8/25 </t>
    </r>
    <r>
      <rPr>
        <sz val="9"/>
        <color rgb="FF595959"/>
        <rFont val="WenQuanYi Zen Hei"/>
        <family val="2"/>
      </rPr>
      <t xml:space="preserve">スマート</t>
    </r>
    <r>
      <rPr>
        <sz val="9"/>
        <color rgb="FF595959"/>
        <rFont val="Arial"/>
        <family val="0"/>
        <charset val="1"/>
      </rPr>
      <t xml:space="preserve">EX 6,200</t>
    </r>
    <r>
      <rPr>
        <sz val="9"/>
        <color rgb="FF595959"/>
        <rFont val="WenQuanYi Zen Hei"/>
        <family val="2"/>
      </rPr>
      <t xml:space="preserve">円（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名分）のうち、経費は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名分</t>
    </r>
    <r>
      <rPr>
        <sz val="9"/>
        <color rgb="FF595959"/>
        <rFont val="Arial"/>
        <family val="0"/>
        <charset val="1"/>
      </rPr>
      <t xml:space="preserve">3,100</t>
    </r>
    <r>
      <rPr>
        <sz val="9"/>
        <color rgb="FF595959"/>
        <rFont val="WenQuanYi Zen Hei"/>
        <family val="2"/>
      </rPr>
      <t xml:space="preserve">円のみとしたため。</t>
    </r>
  </si>
  <si>
    <r>
      <rPr>
        <b val="true"/>
        <sz val="12"/>
        <color rgb="FF1F3864"/>
        <rFont val="Arial"/>
        <family val="0"/>
        <charset val="1"/>
      </rPr>
      <t xml:space="preserve">2. </t>
    </r>
    <r>
      <rPr>
        <b val="true"/>
        <sz val="12"/>
        <color rgb="FF1F3864"/>
        <rFont val="WenQuanYi Zen Hei"/>
        <family val="2"/>
      </rPr>
      <t xml:space="preserve">個別に判断した</t>
    </r>
    <r>
      <rPr>
        <b val="true"/>
        <sz val="12"/>
        <color rgb="FF1F3864"/>
        <rFont val="Arial"/>
        <family val="0"/>
        <charset val="1"/>
      </rPr>
      <t xml:space="preserve">4</t>
    </r>
    <r>
      <rPr>
        <b val="true"/>
        <sz val="12"/>
        <color rgb="FF1F3864"/>
        <rFont val="WenQuanYi Zen Hei"/>
        <family val="2"/>
      </rPr>
      <t xml:space="preserve">件</t>
    </r>
  </si>
  <si>
    <r>
      <rPr>
        <b val="true"/>
        <sz val="10"/>
        <rFont val="Arial"/>
        <family val="0"/>
        <charset val="1"/>
      </rPr>
      <t xml:space="preserve">4/2 </t>
    </r>
    <r>
      <rPr>
        <b val="true"/>
        <sz val="10"/>
        <rFont val="WenQuanYi Zen Hei"/>
        <family val="2"/>
      </rPr>
      <t xml:space="preserve">八王子上野町郵便局 </t>
    </r>
    <r>
      <rPr>
        <b val="true"/>
        <sz val="10"/>
        <rFont val="Arial"/>
        <family val="0"/>
        <charset val="1"/>
      </rPr>
      <t xml:space="preserve">60,600</t>
    </r>
    <r>
      <rPr>
        <b val="true"/>
        <sz val="10"/>
        <rFont val="WenQuanYi Zen Hei"/>
        <family val="2"/>
      </rPr>
      <t xml:space="preserve">円</t>
    </r>
  </si>
  <si>
    <r>
      <rPr>
        <sz val="10"/>
        <rFont val="WenQuanYi Zen Hei"/>
        <family val="2"/>
      </rPr>
      <t xml:space="preserve">既存</t>
    </r>
    <r>
      <rPr>
        <sz val="10"/>
        <rFont val="Arial"/>
        <family val="0"/>
        <charset val="1"/>
      </rPr>
      <t xml:space="preserve">No.281</t>
    </r>
    <r>
      <rPr>
        <sz val="10"/>
        <rFont val="WenQuanYi Zen Hei"/>
        <family val="2"/>
      </rPr>
      <t xml:space="preserve">（収入印紙</t>
    </r>
    <r>
      <rPr>
        <sz val="10"/>
        <rFont val="Arial"/>
        <family val="0"/>
        <charset val="1"/>
      </rPr>
      <t xml:space="preserve">60,000</t>
    </r>
    <r>
      <rPr>
        <sz val="10"/>
        <rFont val="WenQuanYi Zen Hei"/>
        <family val="2"/>
      </rPr>
      <t xml:space="preserve">円）・</t>
    </r>
    <r>
      <rPr>
        <sz val="10"/>
        <rFont val="Arial"/>
        <family val="0"/>
        <charset val="1"/>
      </rPr>
      <t xml:space="preserve">No.282</t>
    </r>
    <r>
      <rPr>
        <sz val="10"/>
        <rFont val="WenQuanYi Zen Hei"/>
        <family val="2"/>
      </rPr>
      <t xml:space="preserve">（レターパック</t>
    </r>
    <r>
      <rPr>
        <sz val="10"/>
        <rFont val="Arial"/>
        <family val="0"/>
        <charset val="1"/>
      </rPr>
      <t xml:space="preserve">600</t>
    </r>
    <r>
      <rPr>
        <sz val="10"/>
        <rFont val="WenQuanYi Zen Hei"/>
        <family val="2"/>
      </rPr>
      <t xml:space="preserve">円）で登録済み。照合時に重複登録した</t>
    </r>
    <r>
      <rPr>
        <sz val="10"/>
        <rFont val="Arial"/>
        <family val="0"/>
        <charset val="1"/>
      </rPr>
      <t xml:space="preserve">No.1709</t>
    </r>
    <r>
      <rPr>
        <sz val="10"/>
        <rFont val="WenQuanYi Zen Hei"/>
        <family val="2"/>
      </rPr>
      <t xml:space="preserve">は削除済み。</t>
    </r>
  </si>
  <si>
    <r>
      <rPr>
        <b val="true"/>
        <sz val="10"/>
        <rFont val="Arial"/>
        <family val="0"/>
        <charset val="1"/>
      </rPr>
      <t xml:space="preserve">4/26 </t>
    </r>
    <r>
      <rPr>
        <b val="true"/>
        <sz val="10"/>
        <rFont val="WenQuanYi Zen Hei"/>
        <family val="2"/>
      </rPr>
      <t xml:space="preserve">プロ・ファシリテーターズ </t>
    </r>
    <r>
      <rPr>
        <b val="true"/>
        <sz val="10"/>
        <rFont val="Arial"/>
        <family val="0"/>
        <charset val="1"/>
      </rPr>
      <t xml:space="preserve">7,000</t>
    </r>
    <r>
      <rPr>
        <b val="true"/>
        <sz val="10"/>
        <rFont val="WenQuanYi Zen Hei"/>
        <family val="2"/>
      </rPr>
      <t xml:space="preserve">円</t>
    </r>
  </si>
  <si>
    <r>
      <rPr>
        <sz val="10"/>
        <rFont val="WenQuanYi Zen Hei"/>
        <family val="2"/>
      </rPr>
      <t xml:space="preserve">既存</t>
    </r>
    <r>
      <rPr>
        <sz val="10"/>
        <rFont val="Arial"/>
        <family val="0"/>
        <charset val="1"/>
      </rPr>
      <t xml:space="preserve">No.305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4/6 </t>
    </r>
    <r>
      <rPr>
        <sz val="10"/>
        <rFont val="WenQuanYi Zen Hei"/>
        <family val="2"/>
      </rPr>
      <t xml:space="preserve">セミナー代 </t>
    </r>
    <r>
      <rPr>
        <sz val="10"/>
        <rFont val="Arial"/>
        <family val="0"/>
        <charset val="1"/>
      </rPr>
      <t xml:space="preserve">7,000</t>
    </r>
    <r>
      <rPr>
        <sz val="10"/>
        <rFont val="WenQuanYi Zen Hei"/>
        <family val="2"/>
      </rPr>
      <t xml:space="preserve">円）と同じ支払い。追加登録なし。</t>
    </r>
  </si>
  <si>
    <r>
      <rPr>
        <b val="true"/>
        <sz val="10"/>
        <rFont val="Arial"/>
        <family val="0"/>
        <charset val="1"/>
      </rPr>
      <t xml:space="preserve">6/4 </t>
    </r>
    <r>
      <rPr>
        <b val="true"/>
        <sz val="10"/>
        <rFont val="WenQuanYi Zen Hei"/>
        <family val="2"/>
      </rPr>
      <t xml:space="preserve">手書き領収証（南新町）</t>
    </r>
    <r>
      <rPr>
        <b val="true"/>
        <sz val="10"/>
        <rFont val="Arial"/>
        <family val="0"/>
        <charset val="1"/>
      </rPr>
      <t xml:space="preserve">7,566</t>
    </r>
    <r>
      <rPr>
        <b val="true"/>
        <sz val="10"/>
        <rFont val="WenQuanYi Zen Hei"/>
        <family val="2"/>
      </rPr>
      <t xml:space="preserve">円</t>
    </r>
  </si>
  <si>
    <r>
      <rPr>
        <sz val="10"/>
        <rFont val="WenQuanYi Zen Hei"/>
        <family val="2"/>
      </rPr>
      <t xml:space="preserve">雑費・摘要なしで</t>
    </r>
    <r>
      <rPr>
        <sz val="10"/>
        <rFont val="Arial"/>
        <family val="0"/>
        <charset val="1"/>
      </rPr>
      <t xml:space="preserve">No.1787</t>
    </r>
    <r>
      <rPr>
        <sz val="10"/>
        <rFont val="WenQuanYi Zen Hei"/>
        <family val="2"/>
      </rPr>
      <t xml:space="preserve">として登録。</t>
    </r>
  </si>
  <si>
    <r>
      <rPr>
        <b val="true"/>
        <sz val="10"/>
        <rFont val="Arial"/>
        <family val="0"/>
        <charset val="1"/>
      </rPr>
      <t xml:space="preserve">8/25 </t>
    </r>
    <r>
      <rPr>
        <b val="true"/>
        <sz val="10"/>
        <rFont val="WenQuanYi Zen Hei"/>
        <family val="2"/>
      </rPr>
      <t xml:space="preserve">スマート</t>
    </r>
    <r>
      <rPr>
        <b val="true"/>
        <sz val="10"/>
        <rFont val="Arial"/>
        <family val="0"/>
        <charset val="1"/>
      </rPr>
      <t xml:space="preserve">EX 6,200</t>
    </r>
    <r>
      <rPr>
        <b val="true"/>
        <sz val="10"/>
        <rFont val="WenQuanYi Zen Hei"/>
        <family val="2"/>
      </rPr>
      <t xml:space="preserve">円</t>
    </r>
  </si>
  <si>
    <r>
      <rPr>
        <sz val="10"/>
        <rFont val="WenQuanYi Zen Hei"/>
        <family val="2"/>
      </rPr>
      <t xml:space="preserve">経費は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名分</t>
    </r>
    <r>
      <rPr>
        <sz val="10"/>
        <rFont val="Arial"/>
        <family val="0"/>
        <charset val="1"/>
      </rPr>
      <t xml:space="preserve">3,100</t>
    </r>
    <r>
      <rPr>
        <sz val="10"/>
        <rFont val="WenQuanYi Zen Hei"/>
        <family val="2"/>
      </rPr>
      <t xml:space="preserve">円のみ（既存</t>
    </r>
    <r>
      <rPr>
        <sz val="10"/>
        <rFont val="Arial"/>
        <family val="0"/>
        <charset val="1"/>
      </rPr>
      <t xml:space="preserve">No.1072</t>
    </r>
    <r>
      <rPr>
        <sz val="10"/>
        <rFont val="WenQuanYi Zen Hei"/>
        <family val="2"/>
      </rPr>
      <t xml:space="preserve">）。差額</t>
    </r>
    <r>
      <rPr>
        <sz val="10"/>
        <rFont val="Arial"/>
        <family val="0"/>
        <charset val="1"/>
      </rPr>
      <t xml:space="preserve">3,100</t>
    </r>
    <r>
      <rPr>
        <sz val="10"/>
        <rFont val="WenQuanYi Zen Hei"/>
        <family val="2"/>
      </rPr>
      <t xml:space="preserve">円は経費にしない。</t>
    </r>
  </si>
  <si>
    <r>
      <rPr>
        <b val="true"/>
        <sz val="12"/>
        <color rgb="FF1F3864"/>
        <rFont val="Arial"/>
        <family val="0"/>
        <charset val="1"/>
      </rPr>
      <t xml:space="preserve">3. </t>
    </r>
    <r>
      <rPr>
        <b val="true"/>
        <sz val="12"/>
        <color rgb="FF1F3864"/>
        <rFont val="WenQuanYi Zen Hei"/>
        <family val="2"/>
      </rPr>
      <t xml:space="preserve">デビット（普通預金）との二重計上の整理</t>
    </r>
  </si>
  <si>
    <t xml:space="preserve">社長立替経費と普通預金の両方に計上されていた支払いについて、預金残高を正とし、社長立替経費側を削除。</t>
  </si>
  <si>
    <t xml:space="preserve">金額（円）</t>
  </si>
  <si>
    <t xml:space="preserve">二重計上として特定</t>
  </si>
  <si>
    <r>
      <rPr>
        <sz val="10"/>
        <rFont val="Arial"/>
        <family val="0"/>
        <charset val="1"/>
      </rPr>
      <t xml:space="preserve">47</t>
    </r>
    <r>
      <rPr>
        <sz val="10"/>
        <rFont val="WenQuanYi Zen Hei"/>
        <family val="2"/>
      </rPr>
      <t xml:space="preserve">件＋</t>
    </r>
    <r>
      <rPr>
        <sz val="10"/>
        <rFont val="Arial"/>
        <family val="0"/>
        <charset val="1"/>
      </rPr>
      <t xml:space="preserve">No.1075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GMO 660</t>
    </r>
    <r>
      <rPr>
        <sz val="10"/>
        <rFont val="WenQuanYi Zen Hei"/>
        <family val="2"/>
      </rPr>
      <t xml:space="preserve">円、デビット利用明細で重複と確認）</t>
    </r>
  </si>
  <si>
    <t xml:space="preserve">うち削除済み</t>
  </si>
  <si>
    <t xml:space="preserve">うち未削除</t>
  </si>
  <si>
    <r>
      <rPr>
        <sz val="10"/>
        <rFont val="Arial"/>
        <family val="0"/>
        <charset val="1"/>
      </rPr>
      <t xml:space="preserve">No.270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04/02 </t>
    </r>
    <r>
      <rPr>
        <sz val="10"/>
        <rFont val="WenQuanYi Zen Hei"/>
        <family val="2"/>
      </rPr>
      <t xml:space="preserve">ミスタードーナツ </t>
    </r>
    <r>
      <rPr>
        <sz val="10"/>
        <rFont val="Arial"/>
        <family val="0"/>
        <charset val="1"/>
      </rPr>
      <t xml:space="preserve">CELEO 710</t>
    </r>
    <r>
      <rPr>
        <sz val="10"/>
        <rFont val="WenQuanYi Zen Hei"/>
        <family val="2"/>
      </rPr>
      <t xml:space="preserve">円）、</t>
    </r>
    <r>
      <rPr>
        <sz val="10"/>
        <rFont val="Arial"/>
        <family val="0"/>
        <charset val="1"/>
      </rPr>
      <t xml:space="preserve">No.1075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08/31 GMO</t>
    </r>
    <r>
      <rPr>
        <sz val="10"/>
        <rFont val="WenQuanYi Zen Hei"/>
        <family val="2"/>
      </rPr>
      <t xml:space="preserve">オフィスサポート </t>
    </r>
    <r>
      <rPr>
        <sz val="10"/>
        <rFont val="Arial"/>
        <family val="0"/>
        <charset val="1"/>
      </rPr>
      <t xml:space="preserve">20 660</t>
    </r>
    <r>
      <rPr>
        <sz val="10"/>
        <rFont val="WenQuanYi Zen Hei"/>
        <family val="2"/>
      </rPr>
      <t xml:space="preserve">円）</t>
    </r>
  </si>
  <si>
    <t xml:space="preserve">（参考）</t>
  </si>
  <si>
    <r>
      <rPr>
        <sz val="9"/>
        <color rgb="FF595959"/>
        <rFont val="Arial"/>
        <family val="0"/>
        <charset val="1"/>
      </rPr>
      <t xml:space="preserve">※ CSV</t>
    </r>
    <r>
      <rPr>
        <sz val="9"/>
        <color rgb="FF595959"/>
        <rFont val="WenQuanYi Zen Hei"/>
        <family val="2"/>
      </rPr>
      <t xml:space="preserve">から今回追加登録した</t>
    </r>
    <r>
      <rPr>
        <sz val="9"/>
        <color rgb="FF595959"/>
        <rFont val="Arial"/>
        <family val="0"/>
        <charset val="1"/>
      </rPr>
      <t xml:space="preserve">79</t>
    </r>
    <r>
      <rPr>
        <sz val="9"/>
        <color rgb="FF595959"/>
        <rFont val="WenQuanYi Zen Hei"/>
        <family val="2"/>
      </rPr>
      <t xml:space="preserve">件には、デビットとの二重計上はありません。</t>
    </r>
  </si>
  <si>
    <r>
      <rPr>
        <b val="true"/>
        <sz val="12"/>
        <color rgb="FF1F3864"/>
        <rFont val="Arial"/>
        <family val="0"/>
        <charset val="1"/>
      </rPr>
      <t xml:space="preserve">4. </t>
    </r>
    <r>
      <rPr>
        <b val="true"/>
        <sz val="12"/>
        <color rgb="FF1F3864"/>
        <rFont val="WenQuanYi Zen Hei"/>
        <family val="2"/>
      </rPr>
      <t xml:space="preserve">社長立替経費の未精算残高（</t>
    </r>
    <r>
      <rPr>
        <b val="true"/>
        <sz val="12"/>
        <color rgb="FF1F3864"/>
        <rFont val="Arial"/>
        <family val="0"/>
        <charset val="1"/>
      </rPr>
      <t xml:space="preserve">2026/1/1</t>
    </r>
    <r>
      <rPr>
        <b val="true"/>
        <sz val="12"/>
        <color rgb="FF1F3864"/>
        <rFont val="WenQuanYi Zen Hei"/>
        <family val="2"/>
      </rPr>
      <t xml:space="preserve">〜</t>
    </r>
    <r>
      <rPr>
        <b val="true"/>
        <sz val="12"/>
        <color rgb="FF1F3864"/>
        <rFont val="Arial"/>
        <family val="0"/>
        <charset val="1"/>
      </rPr>
      <t xml:space="preserve">11/30</t>
    </r>
    <r>
      <rPr>
        <b val="true"/>
        <sz val="12"/>
        <color rgb="FF1F3864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</si>
  <si>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現在の残高（</t>
    </r>
    <r>
      <rPr>
        <sz val="10"/>
        <rFont val="Arial"/>
        <family val="0"/>
        <charset val="1"/>
      </rPr>
      <t xml:space="preserve">10/14</t>
    </r>
    <r>
      <rPr>
        <sz val="10"/>
        <rFont val="WenQuanYi Zen Hei"/>
        <family val="2"/>
      </rPr>
      <t xml:space="preserve">時点）</t>
    </r>
  </si>
  <si>
    <t xml:space="preserve">未削除の二重計上を含む実額</t>
  </si>
  <si>
    <t xml:space="preserve">未削除の二重計上を削除した後</t>
  </si>
  <si>
    <t xml:space="preserve">本来の残高</t>
  </si>
  <si>
    <t xml:space="preserve">※ 現在の残高はマネーフォワードの社長立替経費（貸方計−借方計）から算出した実額。</t>
  </si>
  <si>
    <r>
      <rPr>
        <b val="true"/>
        <sz val="12"/>
        <color rgb="FF1F3864"/>
        <rFont val="Arial"/>
        <family val="0"/>
        <charset val="1"/>
      </rPr>
      <t xml:space="preserve">5. </t>
    </r>
    <r>
      <rPr>
        <b val="true"/>
        <sz val="12"/>
        <color rgb="FF1F3864"/>
        <rFont val="WenQuanYi Zen Hei"/>
        <family val="2"/>
      </rPr>
      <t xml:space="preserve">残っている対応</t>
    </r>
  </si>
  <si>
    <r>
      <rPr>
        <sz val="10"/>
        <rFont val="WenQuanYi Zen Hei"/>
        <family val="2"/>
      </rPr>
      <t xml:space="preserve">① マネーフォワードで </t>
    </r>
    <r>
      <rPr>
        <sz val="10"/>
        <rFont val="Arial"/>
        <family val="0"/>
        <charset val="1"/>
      </rPr>
      <t xml:space="preserve">No.270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No.1075 </t>
    </r>
    <r>
      <rPr>
        <sz val="10"/>
        <rFont val="WenQuanYi Zen Hei"/>
        <family val="2"/>
      </rPr>
      <t xml:space="preserve">を削除（デビットとの二重計上の残り）</t>
    </r>
  </si>
  <si>
    <r>
      <rPr>
        <sz val="10"/>
        <rFont val="WenQuanYi Zen Hei"/>
        <family val="2"/>
      </rPr>
      <t xml:space="preserve">② デビット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月分の確認待ち（未確定勘定）：札幌市・泉佐野市（ふるさと納税か）、ゴルフパートナー、イナノワ・ウズシオ、スターエイト</t>
    </r>
  </si>
  <si>
    <t xml:space="preserve">③ 勘定科目を推定で登録した行（照合一覧の「確認事項」に「推定」）を必要に応じて修正</t>
  </si>
  <si>
    <r>
      <rPr>
        <sz val="10"/>
        <rFont val="Arial"/>
        <family val="0"/>
        <charset val="1"/>
      </rPr>
      <t xml:space="preserve">④ YouTube Premium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povo</t>
    </r>
    <r>
      <rPr>
        <sz val="10"/>
        <rFont val="WenQuanYi Zen Hei"/>
        <family val="2"/>
      </rPr>
      <t xml:space="preserve">・北海道の観光地での支払いなどは、事業との関連を税理士に確認</t>
    </r>
  </si>
  <si>
    <r>
      <rPr>
        <sz val="9"/>
        <color rgb="FF595959"/>
        <rFont val="WenQuanYi Zen Hei"/>
        <family val="2"/>
      </rPr>
      <t xml:space="preserve">登録ルール：相手科目は社長立替経費、金額は税込（この期は税抜・内税）。印紙・証明書・切手は対象外、パン屋は軽減</t>
    </r>
    <r>
      <rPr>
        <sz val="9"/>
        <color rgb="FF595959"/>
        <rFont val="Arial"/>
        <family val="0"/>
        <charset val="1"/>
      </rPr>
      <t xml:space="preserve">8%</t>
    </r>
    <r>
      <rPr>
        <sz val="9"/>
        <color rgb="FF595959"/>
        <rFont val="WenQuanYi Zen Hei"/>
        <family val="2"/>
      </rPr>
      <t xml:space="preserve">、他は課税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。今回登録分は仕訳メモ「社長立替</t>
    </r>
    <r>
      <rPr>
        <sz val="9"/>
        <color rgb="FF595959"/>
        <rFont val="Arial"/>
        <family val="0"/>
        <charset val="1"/>
      </rPr>
      <t xml:space="preserve">CSV</t>
    </r>
    <r>
      <rPr>
        <sz val="9"/>
        <color rgb="FF595959"/>
        <rFont val="WenQuanYi Zen Hei"/>
        <family val="2"/>
      </rPr>
      <t xml:space="preserve">照合登録 </t>
    </r>
    <r>
      <rPr>
        <sz val="9"/>
        <color rgb="FF595959"/>
        <rFont val="Arial"/>
        <family val="0"/>
        <charset val="1"/>
      </rPr>
      <t xml:space="preserve">2026-10-14</t>
    </r>
    <r>
      <rPr>
        <sz val="9"/>
        <color rgb="FF595959"/>
        <rFont val="WenQuanYi Zen Hei"/>
        <family val="2"/>
      </rPr>
      <t xml:space="preserve">」で抽出可。</t>
    </r>
  </si>
  <si>
    <r>
      <rPr>
        <b val="true"/>
        <sz val="14"/>
        <rFont val="WenQuanYi Zen Hei"/>
        <family val="2"/>
      </rPr>
      <t xml:space="preserve">社長立替経費 </t>
    </r>
    <r>
      <rPr>
        <b val="true"/>
        <sz val="14"/>
        <rFont val="Arial"/>
        <family val="0"/>
        <charset val="1"/>
      </rPr>
      <t xml:space="preserve">CSV</t>
    </r>
    <r>
      <rPr>
        <b val="true"/>
        <sz val="14"/>
        <rFont val="WenQuanYi Zen Hei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2026</t>
    </r>
    <r>
      <rPr>
        <b val="true"/>
        <sz val="14"/>
        <rFont val="WenQuanYi Zen Hei"/>
        <family val="2"/>
      </rPr>
      <t xml:space="preserve">年</t>
    </r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〜</t>
    </r>
    <r>
      <rPr>
        <b val="true"/>
        <sz val="14"/>
        <rFont val="Arial"/>
        <family val="0"/>
        <charset val="1"/>
      </rPr>
      <t xml:space="preserve">9</t>
    </r>
    <r>
      <rPr>
        <b val="true"/>
        <sz val="14"/>
        <rFont val="WenQuanYi Zen Hei"/>
        <family val="2"/>
      </rPr>
      <t xml:space="preserve">月）</t>
    </r>
    <r>
      <rPr>
        <b val="true"/>
        <sz val="14"/>
        <rFont val="Arial"/>
        <family val="0"/>
        <charset val="1"/>
      </rPr>
      <t xml:space="preserve">133</t>
    </r>
    <r>
      <rPr>
        <b val="true"/>
        <sz val="14"/>
        <rFont val="WenQuanYi Zen Hei"/>
        <family val="2"/>
      </rPr>
      <t xml:space="preserve">件 登録状況一覧</t>
    </r>
  </si>
  <si>
    <r>
      <rPr>
        <sz val="9"/>
        <color rgb="FF595959"/>
        <rFont val="WenQuanYi Zen Hei"/>
        <family val="2"/>
      </rPr>
      <t xml:space="preserve">合同会社クレア／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WenQuanYi Zen Hei"/>
        <family val="2"/>
      </rPr>
      <t xml:space="preserve">月期　照合日：</t>
    </r>
    <r>
      <rPr>
        <sz val="9"/>
        <color rgb="FF595959"/>
        <rFont val="Arial"/>
        <family val="0"/>
        <charset val="1"/>
      </rPr>
      <t xml:space="preserve">2026/10/14</t>
    </r>
    <r>
      <rPr>
        <sz val="9"/>
        <color rgb="FF595959"/>
        <rFont val="WenQuanYi Zen Hei"/>
        <family val="2"/>
      </rPr>
      <t xml:space="preserve">　※見出しのフィルターで絞り込みできます（合計は表示行のみ）</t>
    </r>
  </si>
  <si>
    <t xml:space="preserve">No.</t>
  </si>
  <si>
    <t xml:space="preserve">日付</t>
  </si>
  <si>
    <t xml:space="preserve">支払先</t>
  </si>
  <si>
    <r>
      <rPr>
        <b val="true"/>
        <sz val="11"/>
        <color rgb="FFFFFFFF"/>
        <rFont val="Arial"/>
        <family val="0"/>
        <charset val="1"/>
      </rPr>
      <t xml:space="preserve">CSV</t>
    </r>
    <r>
      <rPr>
        <b val="true"/>
        <sz val="11"/>
        <color rgb="FFFFFFFF"/>
        <rFont val="WenQuanYi Zen Hei"/>
        <family val="2"/>
      </rPr>
      <t xml:space="preserve">金額
（税込・円）</t>
    </r>
  </si>
  <si>
    <r>
      <rPr>
        <b val="true"/>
        <sz val="11"/>
        <color rgb="FFFFFFFF"/>
        <rFont val="Arial"/>
        <family val="0"/>
        <charset val="1"/>
      </rPr>
      <t xml:space="preserve">MF</t>
    </r>
    <r>
      <rPr>
        <b val="true"/>
        <sz val="11"/>
        <color rgb="FFFFFFFF"/>
        <rFont val="WenQuanYi Zen Hei"/>
        <family val="2"/>
      </rPr>
      <t xml:space="preserve">計上額
（税込・円）</t>
    </r>
  </si>
  <si>
    <t xml:space="preserve">支払手段</t>
  </si>
  <si>
    <r>
      <rPr>
        <b val="true"/>
        <sz val="11"/>
        <color rgb="FFFFFFFF"/>
        <rFont val="WenQuanYi Zen Hei"/>
        <family val="2"/>
      </rPr>
      <t xml:space="preserve">勘定科目
（</t>
    </r>
    <r>
      <rPr>
        <b val="true"/>
        <sz val="11"/>
        <color rgb="FFFFFFFF"/>
        <rFont val="Arial"/>
        <family val="0"/>
        <charset val="1"/>
      </rPr>
      <t xml:space="preserve">CSV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</si>
  <si>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MF</t>
    </r>
    <r>
      <rPr>
        <b val="true"/>
        <sz val="11"/>
        <color rgb="FFFFFFFF"/>
        <rFont val="WenQuanYi Zen Hei"/>
        <family val="2"/>
      </rPr>
      <t xml:space="preserve">登録状況</t>
    </r>
  </si>
  <si>
    <r>
      <rPr>
        <b val="true"/>
        <sz val="11"/>
        <color rgb="FFFFFFFF"/>
        <rFont val="Arial"/>
        <family val="0"/>
        <charset val="1"/>
      </rPr>
      <t xml:space="preserve">MF</t>
    </r>
    <r>
      <rPr>
        <b val="true"/>
        <sz val="11"/>
        <color rgb="FFFFFFFF"/>
        <rFont val="WenQuanYi Zen Hei"/>
        <family val="2"/>
      </rPr>
      <t xml:space="preserve">仕訳
番号</t>
    </r>
  </si>
  <si>
    <r>
      <rPr>
        <b val="true"/>
        <sz val="11"/>
        <color rgb="FFFFFFFF"/>
        <rFont val="Arial"/>
        <family val="0"/>
        <charset val="1"/>
      </rPr>
      <t xml:space="preserve">MF</t>
    </r>
    <r>
      <rPr>
        <b val="true"/>
        <sz val="11"/>
        <color rgb="FFFFFFFF"/>
        <rFont val="WenQuanYi Zen Hei"/>
        <family val="2"/>
      </rPr>
      <t xml:space="preserve">勘定科目</t>
    </r>
  </si>
  <si>
    <r>
      <rPr>
        <b val="true"/>
        <sz val="11"/>
        <color rgb="FFFFFFFF"/>
        <rFont val="Arial"/>
        <family val="0"/>
        <charset val="1"/>
      </rPr>
      <t xml:space="preserve">MF</t>
    </r>
    <r>
      <rPr>
        <b val="true"/>
        <sz val="11"/>
        <color rgb="FFFFFFFF"/>
        <rFont val="WenQuanYi Zen Hei"/>
        <family val="2"/>
      </rPr>
      <t xml:space="preserve">税区分</t>
    </r>
  </si>
  <si>
    <t xml:space="preserve">確認事項・経緯</t>
  </si>
  <si>
    <r>
      <rPr>
        <b val="true"/>
        <sz val="11"/>
        <color rgb="FFFFFFFF"/>
        <rFont val="WenQuanYi Zen Hei"/>
        <family val="2"/>
      </rPr>
      <t xml:space="preserve">内容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摘要（</t>
    </r>
    <r>
      <rPr>
        <b val="true"/>
        <sz val="11"/>
        <color rgb="FFFFFFFF"/>
        <rFont val="Arial"/>
        <family val="0"/>
        <charset val="1"/>
      </rPr>
      <t xml:space="preserve">CSV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</si>
  <si>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証憑ファイル名</t>
  </si>
  <si>
    <r>
      <rPr>
        <b val="true"/>
        <sz val="11"/>
        <color rgb="FFFFFFFF"/>
        <rFont val="WenQuanYi Zen Hei"/>
        <family val="2"/>
      </rPr>
      <t xml:space="preserve">備考（</t>
    </r>
    <r>
      <rPr>
        <b val="true"/>
        <sz val="11"/>
        <color rgb="FFFFFFFF"/>
        <rFont val="Arial"/>
        <family val="0"/>
        <charset val="1"/>
      </rPr>
      <t xml:space="preserve">CSV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</si>
  <si>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ｐｏｖｏご利用料金</t>
  </si>
  <si>
    <r>
      <rPr>
        <sz val="10"/>
        <rFont val="Arial"/>
        <family val="0"/>
        <charset val="1"/>
      </rPr>
      <t xml:space="preserve">P-one</t>
    </r>
    <r>
      <rPr>
        <sz val="10"/>
        <rFont val="WenQuanYi Zen Hei"/>
        <family val="2"/>
      </rPr>
      <t xml:space="preserve">カード（社長個人カード）</t>
    </r>
  </si>
  <si>
    <t xml:space="preserve">通信費</t>
  </si>
  <si>
    <t xml:space="preserve">1678</t>
  </si>
  <si>
    <r>
      <rPr>
        <sz val="10"/>
        <rFont val="WenQuanYi Zen Hei"/>
        <family val="2"/>
      </rPr>
      <t xml:space="preserve">課税</t>
    </r>
    <r>
      <rPr>
        <sz val="10"/>
        <rFont val="Arial"/>
        <family val="0"/>
        <charset val="1"/>
      </rPr>
      <t xml:space="preserve">10%</t>
    </r>
  </si>
  <si>
    <t xml:space="preserve">ｐｏｖｏご利用料金（社長立替・銀行明細に出ない支払）</t>
  </si>
  <si>
    <r>
      <rPr>
        <sz val="10"/>
        <rFont val="Arial"/>
        <family val="0"/>
        <charset val="1"/>
      </rPr>
      <t xml:space="preserve">2026.3 p-one.pdf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P-one</t>
    </r>
    <r>
      <rPr>
        <sz val="10"/>
        <rFont val="WenQuanYi Zen Hei"/>
        <family val="2"/>
      </rPr>
      <t xml:space="preserve">明細・領収書なし）</t>
    </r>
  </si>
  <si>
    <t xml:space="preserve">カード利用明細のみ（レシートなし）</t>
  </si>
  <si>
    <t xml:space="preserve">ＮＯＴＴＡ</t>
  </si>
  <si>
    <t xml:space="preserve">諸会費</t>
  </si>
  <si>
    <t xml:space="preserve">1679</t>
  </si>
  <si>
    <t xml:space="preserve">ＮＯＴＴＡ（社長立替・銀行明細に出ない支払）</t>
  </si>
  <si>
    <t xml:space="preserve">１ＰＡＳＳＷＯＲＤ</t>
  </si>
  <si>
    <t xml:space="preserve">1680</t>
  </si>
  <si>
    <t xml:space="preserve">１ＰＡＳＳＷＯＲＤ（社長立替・銀行明細に出ない支払）</t>
  </si>
  <si>
    <t xml:space="preserve">モバイルスイカ</t>
  </si>
  <si>
    <t xml:space="preserve">旅費交通費</t>
  </si>
  <si>
    <t xml:space="preserve">1681</t>
  </si>
  <si>
    <t xml:space="preserve">モバイルスイカ（社長立替・銀行明細に出ない支払）</t>
  </si>
  <si>
    <t xml:space="preserve">ＡＭＡＺＯＮ．ＣＯ．ＪＰ</t>
  </si>
  <si>
    <t xml:space="preserve">会議費</t>
  </si>
  <si>
    <t xml:space="preserve">1682</t>
  </si>
  <si>
    <t xml:space="preserve">ＡＭＡＺＯＮ．ＣＯ．ＪＰ（社長立替・銀行明細に出ない支払）</t>
  </si>
  <si>
    <t xml:space="preserve">すし銚子丸　八王子店</t>
  </si>
  <si>
    <t xml:space="preserve">接待交際費</t>
  </si>
  <si>
    <t xml:space="preserve">1683</t>
  </si>
  <si>
    <t xml:space="preserve">すし銚子丸　八王子店（社長立替・銀行明細に出ない支払）</t>
  </si>
  <si>
    <t xml:space="preserve">ＳＯＵＬ　ＧＲＩＬＬ</t>
  </si>
  <si>
    <t xml:space="preserve">1684</t>
  </si>
  <si>
    <t xml:space="preserve">ＳＯＵＬ　ＧＲＩＬＬ（社長立替・銀行明細に出ない支払）</t>
  </si>
  <si>
    <t xml:space="preserve">ノート</t>
  </si>
  <si>
    <t xml:space="preserve">1685</t>
  </si>
  <si>
    <t xml:space="preserve">ノート（社長立替・銀行明細に出ない支払）</t>
  </si>
  <si>
    <t xml:space="preserve">1686</t>
  </si>
  <si>
    <t xml:space="preserve">ＪＲヒガシニホン　エキネット</t>
  </si>
  <si>
    <t xml:space="preserve">1687</t>
  </si>
  <si>
    <t xml:space="preserve">ＪＲヒガシニホン　エキネット（社長立替・銀行明細に出ない支払）</t>
  </si>
  <si>
    <t xml:space="preserve">ＧＯＯＧＬＥ　ＹＯＵＴＵＢＥＰＲＥＭＩＵ</t>
  </si>
  <si>
    <t xml:space="preserve">1688</t>
  </si>
  <si>
    <t xml:space="preserve">ＧＯＯＧＬＥ　ＹＯＵＴＵＢＥＰＲＥＭＩＵ（社長立替・銀行明細に出ない支払）</t>
  </si>
  <si>
    <t xml:space="preserve">ルミネタチカワ</t>
  </si>
  <si>
    <t xml:space="preserve">1689</t>
  </si>
  <si>
    <t xml:space="preserve">ルミネタチカワ（社長立替・銀行明細に出ない支払）</t>
  </si>
  <si>
    <t xml:space="preserve">名鉄百貨店</t>
  </si>
  <si>
    <t xml:space="preserve">1690</t>
  </si>
  <si>
    <t xml:space="preserve">名鉄百貨店（社長立替・銀行明細に出ない支払）</t>
  </si>
  <si>
    <t xml:space="preserve">ＪＲヒガシニホン　ミドリノマドグチ</t>
  </si>
  <si>
    <t xml:space="preserve">1691</t>
  </si>
  <si>
    <t xml:space="preserve">ＪＲヒガシニホン　ミドリノマドグチ（社長立替・銀行明細に出ない支払）</t>
  </si>
  <si>
    <t xml:space="preserve">名古屋ビーズホテル</t>
  </si>
  <si>
    <t xml:space="preserve">カード払い（社長立替）</t>
  </si>
  <si>
    <t xml:space="preserve">227</t>
  </si>
  <si>
    <t xml:space="preserve">名古屋ビーズホテル（社長立替・銀行明細に出ない支払）</t>
  </si>
  <si>
    <t xml:space="preserve">IMG_20260331_132722.jpg + IMG_20260331_132730.jpg</t>
  </si>
  <si>
    <t xml:space="preserve">レシート＋カード売上票</t>
  </si>
  <si>
    <t xml:space="preserve">名古屋駅店舗</t>
  </si>
  <si>
    <t xml:space="preserve">1692</t>
  </si>
  <si>
    <t xml:space="preserve">名古屋駅店舗（社長立替・銀行明細に出ない支払）</t>
  </si>
  <si>
    <t xml:space="preserve">ラクテンペイ　クサキタクシー</t>
  </si>
  <si>
    <t xml:space="preserve">1693</t>
  </si>
  <si>
    <t xml:space="preserve">ラクテンペイ　クサキタクシー（社長立替・銀行明細に出ない支払）</t>
  </si>
  <si>
    <t xml:space="preserve">ＪＲ東海</t>
  </si>
  <si>
    <t xml:space="preserve">1694</t>
  </si>
  <si>
    <t xml:space="preserve">ＪＲ東海（社長立替・銀行明細に出ない支払）</t>
  </si>
  <si>
    <t xml:space="preserve">1695</t>
  </si>
  <si>
    <t xml:space="preserve">セブンーイレブン</t>
  </si>
  <si>
    <t xml:space="preserve">1696</t>
  </si>
  <si>
    <t xml:space="preserve">セブンーイレブン（社長立替・銀行明細に出ない支払）</t>
  </si>
  <si>
    <t xml:space="preserve">1697</t>
  </si>
  <si>
    <t xml:space="preserve">ＧＭＯオフィスサポート</t>
  </si>
  <si>
    <t xml:space="preserve">1698</t>
  </si>
  <si>
    <t xml:space="preserve">ＧＭＯオフィスサポート（社長立替・銀行明細に出ない支払）</t>
  </si>
  <si>
    <t xml:space="preserve">1699</t>
  </si>
  <si>
    <t xml:space="preserve">1700</t>
  </si>
  <si>
    <r>
      <rPr>
        <sz val="10"/>
        <rFont val="WenQuanYi Zen Hei"/>
        <family val="2"/>
      </rPr>
      <t xml:space="preserve">立川</t>
    </r>
    <r>
      <rPr>
        <sz val="10"/>
        <rFont val="Arial"/>
        <family val="0"/>
        <charset val="1"/>
      </rPr>
      <t xml:space="preserve">NewYorkStyle PizzaV</t>
    </r>
  </si>
  <si>
    <t xml:space="preserve">会議費または接待交際費</t>
  </si>
  <si>
    <t xml:space="preserve">226</t>
  </si>
  <si>
    <r>
      <rPr>
        <sz val="10"/>
        <rFont val="WenQuanYi Zen Hei"/>
        <family val="2"/>
      </rPr>
      <t xml:space="preserve">立川</t>
    </r>
    <r>
      <rPr>
        <sz val="10"/>
        <rFont val="Arial"/>
        <family val="0"/>
        <charset val="1"/>
      </rPr>
      <t xml:space="preserve">NewYorkStyle PizzaV</t>
    </r>
    <r>
      <rPr>
        <sz val="10"/>
        <rFont val="WenQuanYi Zen Hei"/>
        <family val="2"/>
      </rPr>
      <t xml:space="preserve">（社長立替・銀行明細に出ない支払）</t>
    </r>
  </si>
  <si>
    <r>
      <rPr>
        <sz val="10"/>
        <rFont val="Arial"/>
        <family val="0"/>
        <charset val="1"/>
      </rPr>
      <t xml:space="preserve">IMG_20260331_132555.jpg </t>
    </r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P-one</t>
    </r>
    <r>
      <rPr>
        <sz val="10"/>
        <rFont val="WenQuanYi Zen Hei"/>
        <family val="2"/>
      </rPr>
      <t xml:space="preserve">明細（</t>
    </r>
    <r>
      <rPr>
        <sz val="10"/>
        <rFont val="Arial"/>
        <family val="0"/>
        <charset val="1"/>
      </rPr>
      <t xml:space="preserve">2026.4 p-one.pdf</t>
    </r>
    <r>
      <rPr>
        <sz val="10"/>
        <rFont val="WenQuanYi Zen Hei"/>
        <family val="2"/>
      </rPr>
      <t xml:space="preserve">）</t>
    </r>
  </si>
  <si>
    <t xml:space="preserve">領収書・レシート＋カード利用明細</t>
  </si>
  <si>
    <t xml:space="preserve">1701</t>
  </si>
  <si>
    <r>
      <rPr>
        <sz val="10"/>
        <rFont val="Arial"/>
        <family val="0"/>
        <charset val="1"/>
      </rPr>
      <t xml:space="preserve">2026.4 p-one.pdf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P-one</t>
    </r>
    <r>
      <rPr>
        <sz val="10"/>
        <rFont val="WenQuanYi Zen Hei"/>
        <family val="2"/>
      </rPr>
      <t xml:space="preserve">明細・領収書なし）</t>
    </r>
  </si>
  <si>
    <t xml:space="preserve">1702</t>
  </si>
  <si>
    <t xml:space="preserve">1703</t>
  </si>
  <si>
    <t xml:space="preserve">マネーフォワードクラウド</t>
  </si>
  <si>
    <t xml:space="preserve">1704</t>
  </si>
  <si>
    <t xml:space="preserve">マネーフォワードクラウド（社長立替・銀行明細に出ない支払）</t>
  </si>
  <si>
    <t xml:space="preserve">1705</t>
  </si>
  <si>
    <r>
      <rPr>
        <sz val="10"/>
        <rFont val="WenQuanYi Zen Hei"/>
        <family val="2"/>
      </rPr>
      <t xml:space="preserve">アパルトマン</t>
    </r>
    <r>
      <rPr>
        <sz val="10"/>
        <rFont val="Arial"/>
        <family val="0"/>
        <charset val="1"/>
      </rPr>
      <t xml:space="preserve">HD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CHARISTA</t>
    </r>
    <r>
      <rPr>
        <sz val="10"/>
        <rFont val="WenQuanYi Zen Hei"/>
        <family val="2"/>
      </rPr>
      <t xml:space="preserve">八王子駅前駐輪場</t>
    </r>
  </si>
  <si>
    <t xml:space="preserve">不明（印字なし）</t>
  </si>
  <si>
    <t xml:space="preserve">215</t>
  </si>
  <si>
    <r>
      <rPr>
        <sz val="10"/>
        <rFont val="WenQuanYi Zen Hei"/>
        <family val="2"/>
      </rPr>
      <t xml:space="preserve">アパルトマン</t>
    </r>
    <r>
      <rPr>
        <sz val="10"/>
        <rFont val="Arial"/>
        <family val="0"/>
        <charset val="1"/>
      </rPr>
      <t xml:space="preserve">HD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CHARISTA</t>
    </r>
    <r>
      <rPr>
        <sz val="10"/>
        <rFont val="WenQuanYi Zen Hei"/>
        <family val="2"/>
      </rPr>
      <t xml:space="preserve">八王子駅前駐輪場（社長立替・銀行明細に出ない支払）</t>
    </r>
  </si>
  <si>
    <t xml:space="preserve">IMG_20260331_132510.jpg</t>
  </si>
  <si>
    <t xml:space="preserve">領収書・レシート</t>
  </si>
  <si>
    <r>
      <rPr>
        <sz val="10"/>
        <rFont val="Arial"/>
        <family val="0"/>
        <charset val="1"/>
      </rPr>
      <t xml:space="preserve">CHARISTA</t>
    </r>
    <r>
      <rPr>
        <sz val="10"/>
        <rFont val="WenQuanYi Zen Hei"/>
        <family val="2"/>
      </rPr>
      <t xml:space="preserve">八王子駅前駐輪場</t>
    </r>
  </si>
  <si>
    <t xml:space="preserve">233</t>
  </si>
  <si>
    <r>
      <rPr>
        <sz val="10"/>
        <rFont val="Arial"/>
        <family val="0"/>
        <charset val="1"/>
      </rPr>
      <t xml:space="preserve">CHARISTA</t>
    </r>
    <r>
      <rPr>
        <sz val="10"/>
        <rFont val="WenQuanYi Zen Hei"/>
        <family val="2"/>
      </rPr>
      <t xml:space="preserve">八王子駅前駐輪場（社長立替・銀行明細に出ない支払）</t>
    </r>
  </si>
  <si>
    <t xml:space="preserve">IMG_20260331_132811.jpg</t>
  </si>
  <si>
    <r>
      <rPr>
        <sz val="10"/>
        <rFont val="Arial"/>
        <family val="0"/>
        <charset val="1"/>
      </rPr>
      <t xml:space="preserve">CHARISTA</t>
    </r>
    <r>
      <rPr>
        <sz val="10"/>
        <rFont val="WenQuanYi Zen Hei"/>
        <family val="2"/>
      </rPr>
      <t xml:space="preserve">八王子駅前駐輪場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アパルトマン</t>
    </r>
    <r>
      <rPr>
        <sz val="10"/>
        <rFont val="Arial"/>
        <family val="0"/>
        <charset val="1"/>
      </rPr>
      <t xml:space="preserve">HD</t>
    </r>
    <r>
      <rPr>
        <sz val="10"/>
        <rFont val="WenQuanYi Zen Hei"/>
        <family val="2"/>
      </rPr>
      <t xml:space="preserve">株式会社</t>
    </r>
    <r>
      <rPr>
        <sz val="10"/>
        <rFont val="Arial"/>
        <family val="0"/>
        <charset val="1"/>
      </rPr>
      <t xml:space="preserve">)</t>
    </r>
  </si>
  <si>
    <t xml:space="preserve">284</t>
  </si>
  <si>
    <r>
      <rPr>
        <sz val="10"/>
        <rFont val="Arial"/>
        <family val="0"/>
        <charset val="1"/>
      </rPr>
      <t xml:space="preserve">CHARISTA</t>
    </r>
    <r>
      <rPr>
        <sz val="10"/>
        <rFont val="WenQuanYi Zen Hei"/>
        <family val="2"/>
      </rPr>
      <t xml:space="preserve">八王子駅前駐輪場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アパルトマン</t>
    </r>
    <r>
      <rPr>
        <sz val="10"/>
        <rFont val="Arial"/>
        <family val="0"/>
        <charset val="1"/>
      </rPr>
      <t xml:space="preserve">HD</t>
    </r>
    <r>
      <rPr>
        <sz val="10"/>
        <rFont val="WenQuanYi Zen Hei"/>
        <family val="2"/>
      </rPr>
      <t xml:space="preserve">株式会社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（社長立替・銀行明細に出ない支払）</t>
    </r>
  </si>
  <si>
    <t xml:space="preserve">IMG_20260506_233313.jpg</t>
  </si>
  <si>
    <r>
      <rPr>
        <sz val="10"/>
        <rFont val="WenQuanYi Zen Hei"/>
        <family val="2"/>
      </rPr>
      <t xml:space="preserve">領収書・レシート ／ 同日同額の別取引（車室</t>
    </r>
    <r>
      <rPr>
        <sz val="10"/>
        <rFont val="Arial"/>
        <family val="0"/>
        <charset val="1"/>
      </rPr>
      <t xml:space="preserve">No.4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No.12</t>
    </r>
    <r>
      <rPr>
        <sz val="10"/>
        <rFont val="WenQuanYi Zen Hei"/>
        <family val="2"/>
      </rPr>
      <t xml:space="preserve">）</t>
    </r>
  </si>
  <si>
    <t xml:space="preserve">285</t>
  </si>
  <si>
    <r>
      <rPr>
        <sz val="10"/>
        <rFont val="Arial"/>
        <family val="0"/>
        <charset val="1"/>
      </rPr>
      <t xml:space="preserve">MF</t>
    </r>
    <r>
      <rPr>
        <sz val="10"/>
        <rFont val="WenQuanYi Zen Hei"/>
        <family val="2"/>
      </rPr>
      <t xml:space="preserve">上の日付は</t>
    </r>
    <r>
      <rPr>
        <sz val="10"/>
        <rFont val="Arial"/>
        <family val="0"/>
        <charset val="1"/>
      </rPr>
      <t xml:space="preserve">2026-02-22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日ずれ）</t>
    </r>
  </si>
  <si>
    <t xml:space="preserve">IMG_20260506_233317.jpg</t>
  </si>
  <si>
    <t xml:space="preserve">スターバックスコーヒージャパン</t>
  </si>
  <si>
    <t xml:space="preserve">1706</t>
  </si>
  <si>
    <t xml:space="preserve">スターバックスコーヒージャパン（社長立替・銀行明細に出ない支払）</t>
  </si>
  <si>
    <r>
      <rPr>
        <sz val="10"/>
        <rFont val="WenQuanYi Zen Hei"/>
        <family val="2"/>
      </rPr>
      <t xml:space="preserve">セブン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イレブン八王子サザンスカイタワー店</t>
    </r>
  </si>
  <si>
    <t xml:space="preserve">1707</t>
  </si>
  <si>
    <r>
      <rPr>
        <sz val="10"/>
        <rFont val="WenQuanYi Zen Hei"/>
        <family val="2"/>
      </rPr>
      <t xml:space="preserve">セブン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イレブン八王子サザンスカイタワー店（社長立替・銀行明細に出ない支払）</t>
    </r>
  </si>
  <si>
    <t xml:space="preserve">IMG_20260331_132539.jpg</t>
  </si>
  <si>
    <r>
      <rPr>
        <sz val="10"/>
        <rFont val="Arial"/>
        <family val="0"/>
        <charset val="1"/>
      </rPr>
      <t xml:space="preserve">CHARISTA </t>
    </r>
    <r>
      <rPr>
        <sz val="10"/>
        <rFont val="WenQuanYi Zen Hei"/>
        <family val="2"/>
      </rPr>
      <t xml:space="preserve">八王子駅前駐輪場（管理</t>
    </r>
    <r>
      <rPr>
        <sz val="10"/>
        <rFont val="Arial"/>
        <family val="0"/>
        <charset val="1"/>
      </rPr>
      <t xml:space="preserve">:</t>
    </r>
    <r>
      <rPr>
        <sz val="10"/>
        <rFont val="WenQuanYi Zen Hei"/>
        <family val="2"/>
      </rPr>
      <t xml:space="preserve">アパレルトマン</t>
    </r>
    <r>
      <rPr>
        <sz val="10"/>
        <rFont val="Arial"/>
        <family val="0"/>
        <charset val="1"/>
      </rPr>
      <t xml:space="preserve">HD</t>
    </r>
    <r>
      <rPr>
        <sz val="10"/>
        <rFont val="WenQuanYi Zen Hei"/>
        <family val="2"/>
      </rPr>
      <t xml:space="preserve">株式会社）</t>
    </r>
  </si>
  <si>
    <t xml:space="preserve">306</t>
  </si>
  <si>
    <r>
      <rPr>
        <sz val="10"/>
        <rFont val="Arial"/>
        <family val="0"/>
        <charset val="1"/>
      </rPr>
      <t xml:space="preserve">CHARISTA </t>
    </r>
    <r>
      <rPr>
        <sz val="10"/>
        <rFont val="WenQuanYi Zen Hei"/>
        <family val="2"/>
      </rPr>
      <t xml:space="preserve">八王子駅前駐輪場（管理</t>
    </r>
    <r>
      <rPr>
        <sz val="10"/>
        <rFont val="Arial"/>
        <family val="0"/>
        <charset val="1"/>
      </rPr>
      <t xml:space="preserve">:</t>
    </r>
    <r>
      <rPr>
        <sz val="10"/>
        <rFont val="WenQuanYi Zen Hei"/>
        <family val="2"/>
      </rPr>
      <t xml:space="preserve">アパレルトマン</t>
    </r>
    <r>
      <rPr>
        <sz val="10"/>
        <rFont val="Arial"/>
        <family val="0"/>
        <charset val="1"/>
      </rPr>
      <t xml:space="preserve">HD</t>
    </r>
    <r>
      <rPr>
        <sz val="10"/>
        <rFont val="WenQuanYi Zen Hei"/>
        <family val="2"/>
      </rPr>
      <t xml:space="preserve">株式会社）（社長立替・銀行明細に出ない支払）</t>
    </r>
  </si>
  <si>
    <t xml:space="preserve">IMG_20260506_233916.jpg</t>
  </si>
  <si>
    <r>
      <rPr>
        <sz val="10"/>
        <rFont val="WenQuanYi Zen Hei"/>
        <family val="2"/>
      </rPr>
      <t xml:space="preserve">八王子交通事業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株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タクシー</t>
    </r>
  </si>
  <si>
    <t xml:space="preserve">228</t>
  </si>
  <si>
    <r>
      <rPr>
        <sz val="10"/>
        <rFont val="WenQuanYi Zen Hei"/>
        <family val="2"/>
      </rPr>
      <t xml:space="preserve">八王子交通事業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株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タクシー（社長立替・銀行明細に出ない支払）</t>
    </r>
  </si>
  <si>
    <t xml:space="preserve">IMG_20260331_132726.jpg</t>
  </si>
  <si>
    <t xml:space="preserve">337</t>
  </si>
  <si>
    <t xml:space="preserve">IMG_20260506_234726.jpg</t>
  </si>
  <si>
    <r>
      <rPr>
        <sz val="10"/>
        <rFont val="Arial"/>
        <family val="0"/>
        <charset val="1"/>
      </rPr>
      <t xml:space="preserve">CHARISTA </t>
    </r>
    <r>
      <rPr>
        <sz val="10"/>
        <rFont val="WenQuanYi Zen Hei"/>
        <family val="2"/>
      </rPr>
      <t xml:space="preserve">八王子駅前駐輪場</t>
    </r>
  </si>
  <si>
    <t xml:space="preserve">246</t>
  </si>
  <si>
    <r>
      <rPr>
        <sz val="10"/>
        <rFont val="Arial"/>
        <family val="0"/>
        <charset val="1"/>
      </rPr>
      <t xml:space="preserve">CHARISTA </t>
    </r>
    <r>
      <rPr>
        <sz val="10"/>
        <rFont val="WenQuanYi Zen Hei"/>
        <family val="2"/>
      </rPr>
      <t xml:space="preserve">八王子駅前駐輪場（社長立替・銀行明細に出ない支払）</t>
    </r>
  </si>
  <si>
    <t xml:space="preserve">IMG_20260506_232600.jpg</t>
  </si>
  <si>
    <r>
      <rPr>
        <sz val="10"/>
        <rFont val="WenQuanYi Zen Hei"/>
        <family val="2"/>
      </rPr>
      <t xml:space="preserve">サイクルスペース八王子駅前</t>
    </r>
    <r>
      <rPr>
        <sz val="10"/>
        <rFont val="Arial"/>
        <family val="0"/>
        <charset val="1"/>
      </rPr>
      <t xml:space="preserve">24</t>
    </r>
    <r>
      <rPr>
        <sz val="10"/>
        <rFont val="WenQuanYi Zen Hei"/>
        <family val="2"/>
      </rPr>
      <t xml:space="preserve">時間駐輪場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レアル・ユウ株式会社</t>
    </r>
    <r>
      <rPr>
        <sz val="10"/>
        <rFont val="Arial"/>
        <family val="0"/>
        <charset val="1"/>
      </rPr>
      <t xml:space="preserve">)</t>
    </r>
  </si>
  <si>
    <t xml:space="preserve">287</t>
  </si>
  <si>
    <r>
      <rPr>
        <sz val="10"/>
        <rFont val="WenQuanYi Zen Hei"/>
        <family val="2"/>
      </rPr>
      <t xml:space="preserve">サイクルスペース八王子駅前</t>
    </r>
    <r>
      <rPr>
        <sz val="10"/>
        <rFont val="Arial"/>
        <family val="0"/>
        <charset val="1"/>
      </rPr>
      <t xml:space="preserve">24</t>
    </r>
    <r>
      <rPr>
        <sz val="10"/>
        <rFont val="WenQuanYi Zen Hei"/>
        <family val="2"/>
      </rPr>
      <t xml:space="preserve">時間駐輪場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レアル・ユウ株式会社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（社長立替・銀行明細に出ない支払）</t>
    </r>
  </si>
  <si>
    <t xml:space="preserve">IMG_20260506_233332.jpg</t>
  </si>
  <si>
    <t xml:space="preserve">Park Side Cafe BASEL</t>
  </si>
  <si>
    <t xml:space="preserve">クレジット（カード不明）</t>
  </si>
  <si>
    <t xml:space="preserve">1708</t>
  </si>
  <si>
    <r>
      <rPr>
        <sz val="10"/>
        <rFont val="Arial"/>
        <family val="0"/>
        <charset val="1"/>
      </rPr>
      <t xml:space="preserve">Park Side Cafe BASEL</t>
    </r>
    <r>
      <rPr>
        <sz val="10"/>
        <rFont val="WenQuanYi Zen Hei"/>
        <family val="2"/>
      </rPr>
      <t xml:space="preserve">（社長立替・銀行明細に出ない支払）</t>
    </r>
  </si>
  <si>
    <t xml:space="preserve">IMG_20260331_132911.jpg</t>
  </si>
  <si>
    <t xml:space="preserve">254</t>
  </si>
  <si>
    <t xml:space="preserve">IMG_20260506_232717.jpg</t>
  </si>
  <si>
    <t xml:space="preserve">273</t>
  </si>
  <si>
    <t xml:space="preserve">IMG_20260506_233052.jpg</t>
  </si>
  <si>
    <r>
      <rPr>
        <sz val="10"/>
        <rFont val="WenQuanYi Zen Hei"/>
        <family val="2"/>
      </rPr>
      <t xml:space="preserve">セブン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イレブン八王子上野町店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プリント代</t>
    </r>
    <r>
      <rPr>
        <sz val="10"/>
        <rFont val="Arial"/>
        <family val="0"/>
        <charset val="1"/>
      </rPr>
      <t xml:space="preserve">)</t>
    </r>
  </si>
  <si>
    <t xml:space="preserve">現金</t>
  </si>
  <si>
    <t xml:space="preserve">備品・消耗品費</t>
  </si>
  <si>
    <t xml:space="preserve">562</t>
  </si>
  <si>
    <t xml:space="preserve">対象外</t>
  </si>
  <si>
    <r>
      <rPr>
        <sz val="10"/>
        <rFont val="WenQuanYi Zen Hei"/>
        <family val="2"/>
      </rPr>
      <t xml:space="preserve">セブン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イレブン八王子上野町店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プリント代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（社長立替・銀行明細に出ない支払）</t>
    </r>
  </si>
  <si>
    <t xml:space="preserve">IMG_20260605_142608.jpg</t>
  </si>
  <si>
    <t xml:space="preserve">八王子市 八王子駅南口総合事務所</t>
  </si>
  <si>
    <t xml:space="preserve">272</t>
  </si>
  <si>
    <t xml:space="preserve">租税公課</t>
  </si>
  <si>
    <t xml:space="preserve">八王子市 八王子駅南口総合事務所（社長立替・銀行明細に出ない支払）</t>
  </si>
  <si>
    <t xml:space="preserve">IMG_20260506_233046.jpg</t>
  </si>
  <si>
    <r>
      <rPr>
        <sz val="10"/>
        <rFont val="WenQuanYi Zen Hei"/>
        <family val="2"/>
      </rPr>
      <t xml:space="preserve">八王子上野町郵便局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日本郵便株式会社</t>
    </r>
    <r>
      <rPr>
        <sz val="10"/>
        <rFont val="Arial"/>
        <family val="0"/>
        <charset val="1"/>
      </rPr>
      <t xml:space="preserve">)</t>
    </r>
  </si>
  <si>
    <t xml:space="preserve">281, 282</t>
  </si>
  <si>
    <t xml:space="preserve">租税公課／通信費</t>
  </si>
  <si>
    <r>
      <rPr>
        <sz val="10"/>
        <rFont val="WenQuanYi Zen Hei"/>
        <family val="2"/>
      </rPr>
      <t xml:space="preserve">対象外／課税</t>
    </r>
    <r>
      <rPr>
        <sz val="10"/>
        <rFont val="Arial"/>
        <family val="0"/>
        <charset val="1"/>
      </rPr>
      <t xml:space="preserve">10%</t>
    </r>
  </si>
  <si>
    <r>
      <rPr>
        <sz val="10"/>
        <rFont val="WenQuanYi Zen Hei"/>
        <family val="2"/>
      </rPr>
      <t xml:space="preserve">既存</t>
    </r>
    <r>
      <rPr>
        <sz val="10"/>
        <rFont val="Arial"/>
        <family val="0"/>
        <charset val="1"/>
      </rPr>
      <t xml:space="preserve">No.281</t>
    </r>
    <r>
      <rPr>
        <sz val="10"/>
        <rFont val="WenQuanYi Zen Hei"/>
        <family val="2"/>
      </rPr>
      <t xml:space="preserve">（印紙</t>
    </r>
    <r>
      <rPr>
        <sz val="10"/>
        <rFont val="Arial"/>
        <family val="0"/>
        <charset val="1"/>
      </rPr>
      <t xml:space="preserve">60,000</t>
    </r>
    <r>
      <rPr>
        <sz val="10"/>
        <rFont val="WenQuanYi Zen Hei"/>
        <family val="2"/>
      </rPr>
      <t xml:space="preserve">円）・</t>
    </r>
    <r>
      <rPr>
        <sz val="10"/>
        <rFont val="Arial"/>
        <family val="0"/>
        <charset val="1"/>
      </rPr>
      <t xml:space="preserve">No.282</t>
    </r>
    <r>
      <rPr>
        <sz val="10"/>
        <rFont val="WenQuanYi Zen Hei"/>
        <family val="2"/>
      </rPr>
      <t xml:space="preserve">（レターパック</t>
    </r>
    <r>
      <rPr>
        <sz val="10"/>
        <rFont val="Arial"/>
        <family val="0"/>
        <charset val="1"/>
      </rPr>
      <t xml:space="preserve">600</t>
    </r>
    <r>
      <rPr>
        <sz val="10"/>
        <rFont val="WenQuanYi Zen Hei"/>
        <family val="2"/>
      </rPr>
      <t xml:space="preserve">円）に登録済み。今回誤って重複登録した</t>
    </r>
    <r>
      <rPr>
        <sz val="10"/>
        <rFont val="Arial"/>
        <family val="0"/>
        <charset val="1"/>
      </rPr>
      <t xml:space="preserve">No.1709</t>
    </r>
    <r>
      <rPr>
        <sz val="10"/>
        <rFont val="WenQuanYi Zen Hei"/>
        <family val="2"/>
      </rPr>
      <t xml:space="preserve">は削除済み</t>
    </r>
  </si>
  <si>
    <r>
      <rPr>
        <sz val="10"/>
        <rFont val="WenQuanYi Zen Hei"/>
        <family val="2"/>
      </rPr>
      <t xml:space="preserve">八王子上野町郵便局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日本郵便株式会社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／収入印紙</t>
    </r>
    <r>
      <rPr>
        <sz val="10"/>
        <rFont val="Arial"/>
        <family val="0"/>
        <charset val="1"/>
      </rPr>
      <t xml:space="preserve">60,000</t>
    </r>
    <r>
      <rPr>
        <sz val="10"/>
        <rFont val="WenQuanYi Zen Hei"/>
        <family val="2"/>
      </rPr>
      <t xml:space="preserve">円（非課税）＋レターパックプラス</t>
    </r>
    <r>
      <rPr>
        <sz val="10"/>
        <rFont val="Arial"/>
        <family val="0"/>
        <charset val="1"/>
      </rPr>
      <t xml:space="preserve">600</t>
    </r>
    <r>
      <rPr>
        <sz val="10"/>
        <rFont val="WenQuanYi Zen Hei"/>
        <family val="2"/>
      </rPr>
      <t xml:space="preserve">円（社長立替・銀行明細に出ない支払）</t>
    </r>
  </si>
  <si>
    <t xml:space="preserve">IMG_20260506_233253.jpg</t>
  </si>
  <si>
    <r>
      <rPr>
        <sz val="10"/>
        <rFont val="WenQuanYi Zen Hei"/>
        <family val="2"/>
      </rPr>
      <t xml:space="preserve">領収書・レシート ／ 内訳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収入印紙</t>
    </r>
    <r>
      <rPr>
        <sz val="10"/>
        <rFont val="Arial"/>
        <family val="0"/>
        <charset val="1"/>
      </rPr>
      <t xml:space="preserve">60,000</t>
    </r>
    <r>
      <rPr>
        <sz val="10"/>
        <rFont val="WenQuanYi Zen Hei"/>
        <family val="2"/>
      </rPr>
      <t xml:space="preserve">円（非課税）＋レターパックプラス</t>
    </r>
    <r>
      <rPr>
        <sz val="10"/>
        <rFont val="Arial"/>
        <family val="0"/>
        <charset val="1"/>
      </rPr>
      <t xml:space="preserve">600</t>
    </r>
    <r>
      <rPr>
        <sz val="10"/>
        <rFont val="WenQuanYi Zen Hei"/>
        <family val="2"/>
      </rPr>
      <t xml:space="preserve">円</t>
    </r>
  </si>
  <si>
    <t xml:space="preserve">293</t>
  </si>
  <si>
    <t xml:space="preserve">IMG_20260506_233525.jpg</t>
  </si>
  <si>
    <t xml:space="preserve">ムロマチカフェ ハチ</t>
  </si>
  <si>
    <t xml:space="preserve">283</t>
  </si>
  <si>
    <r>
      <rPr>
        <sz val="10"/>
        <rFont val="Arial"/>
        <family val="0"/>
        <charset val="1"/>
      </rPr>
      <t xml:space="preserve">MF</t>
    </r>
    <r>
      <rPr>
        <sz val="10"/>
        <rFont val="WenQuanYi Zen Hei"/>
        <family val="2"/>
      </rPr>
      <t xml:space="preserve">上の日付は</t>
    </r>
    <r>
      <rPr>
        <sz val="10"/>
        <rFont val="Arial"/>
        <family val="0"/>
        <charset val="1"/>
      </rPr>
      <t xml:space="preserve">2026-04-05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日ずれ）</t>
    </r>
  </si>
  <si>
    <t xml:space="preserve">ムロマチカフェ ハチ（社長立替・銀行明細に出ない支払）</t>
  </si>
  <si>
    <t xml:space="preserve">IMG_20260506_233308.jpg</t>
  </si>
  <si>
    <r>
      <rPr>
        <sz val="10"/>
        <rFont val="WenQuanYi Zen Hei"/>
        <family val="2"/>
      </rPr>
      <t xml:space="preserve">セブンイレブン八王子上野町二丁目</t>
    </r>
    <r>
      <rPr>
        <sz val="10"/>
        <rFont val="Arial"/>
        <family val="0"/>
        <charset val="1"/>
      </rPr>
      <t xml:space="preserve">8-1-1</t>
    </r>
    <r>
      <rPr>
        <sz val="10"/>
        <rFont val="WenQuanYi Zen Hei"/>
        <family val="2"/>
      </rPr>
      <t xml:space="preserve">店</t>
    </r>
  </si>
  <si>
    <t xml:space="preserve">266</t>
  </si>
  <si>
    <r>
      <rPr>
        <sz val="10"/>
        <rFont val="WenQuanYi Zen Hei"/>
        <family val="2"/>
      </rPr>
      <t xml:space="preserve">セブンイレブン八王子上野町二丁目</t>
    </r>
    <r>
      <rPr>
        <sz val="10"/>
        <rFont val="Arial"/>
        <family val="0"/>
        <charset val="1"/>
      </rPr>
      <t xml:space="preserve">8-1-1</t>
    </r>
    <r>
      <rPr>
        <sz val="10"/>
        <rFont val="WenQuanYi Zen Hei"/>
        <family val="2"/>
      </rPr>
      <t xml:space="preserve">店（社長立替・銀行明細に出ない支払）</t>
    </r>
  </si>
  <si>
    <t xml:space="preserve">IMG_20260506_232935.jpg</t>
  </si>
  <si>
    <r>
      <rPr>
        <sz val="10"/>
        <rFont val="Arial"/>
        <family val="0"/>
        <charset val="1"/>
      </rPr>
      <t xml:space="preserve">MOSH </t>
    </r>
    <r>
      <rPr>
        <sz val="10"/>
        <rFont val="WenQuanYi Zen Hei"/>
        <family val="2"/>
      </rPr>
      <t xml:space="preserve">フロントライン</t>
    </r>
  </si>
  <si>
    <t xml:space="preserve">クレジットカード（カード不明）</t>
  </si>
  <si>
    <t xml:space="preserve">新聞図書費</t>
  </si>
  <si>
    <t xml:space="preserve">387</t>
  </si>
  <si>
    <r>
      <rPr>
        <sz val="10"/>
        <rFont val="Arial"/>
        <family val="0"/>
        <charset val="1"/>
      </rPr>
      <t xml:space="preserve">MOSH </t>
    </r>
    <r>
      <rPr>
        <sz val="10"/>
        <rFont val="WenQuanYi Zen Hei"/>
        <family val="2"/>
      </rPr>
      <t xml:space="preserve">フロントライン（社長立替・銀行明細に出ない支払）</t>
    </r>
  </si>
  <si>
    <r>
      <rPr>
        <sz val="10"/>
        <rFont val="WenQuanYi Zen Hei"/>
        <family val="2"/>
      </rPr>
      <t xml:space="preserve">領収書</t>
    </r>
    <r>
      <rPr>
        <sz val="10"/>
        <rFont val="Arial"/>
        <family val="0"/>
        <charset val="1"/>
      </rPr>
      <t xml:space="preserve">_2026-04-11_MOSH_</t>
    </r>
    <r>
      <rPr>
        <sz val="10"/>
        <rFont val="WenQuanYi Zen Hei"/>
        <family val="2"/>
      </rPr>
      <t xml:space="preserve">フロントライン</t>
    </r>
    <r>
      <rPr>
        <sz val="10"/>
        <rFont val="Arial"/>
        <family val="0"/>
        <charset val="1"/>
      </rPr>
      <t xml:space="preserve">.pdf</t>
    </r>
  </si>
  <si>
    <r>
      <rPr>
        <sz val="10"/>
        <rFont val="WenQuanYi Zen Hei"/>
        <family val="2"/>
      </rPr>
      <t xml:space="preserve">電子領収書（メール） ／ 月額サブスク。同月</t>
    </r>
    <r>
      <rPr>
        <sz val="10"/>
        <rFont val="Arial"/>
        <family val="0"/>
        <charset val="1"/>
      </rPr>
      <t xml:space="preserve">4/21</t>
    </r>
    <r>
      <rPr>
        <sz val="10"/>
        <rFont val="WenQuanYi Zen Hei"/>
        <family val="2"/>
      </rPr>
      <t xml:space="preserve">にも同額の決済あり（返金なし）</t>
    </r>
  </si>
  <si>
    <r>
      <rPr>
        <sz val="10"/>
        <rFont val="WenQuanYi Zen Hei"/>
        <family val="2"/>
      </rPr>
      <t xml:space="preserve">セブンイレブン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八王子里芝田町八丁店</t>
    </r>
    <r>
      <rPr>
        <sz val="10"/>
        <rFont val="Arial"/>
        <family val="0"/>
        <charset val="1"/>
      </rPr>
      <t xml:space="preserve">)</t>
    </r>
  </si>
  <si>
    <t xml:space="preserve">325</t>
  </si>
  <si>
    <r>
      <rPr>
        <sz val="10"/>
        <rFont val="WenQuanYi Zen Hei"/>
        <family val="2"/>
      </rPr>
      <t xml:space="preserve">セブンイレブン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八王子里芝田町八丁店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（社長立替・銀行明細に出ない支払）</t>
    </r>
  </si>
  <si>
    <t xml:space="preserve">IMG_20260506_234435_1.jpg</t>
  </si>
  <si>
    <t xml:space="preserve">321</t>
  </si>
  <si>
    <t xml:space="preserve">IMG_20260506_234342_1.jpg</t>
  </si>
  <si>
    <t xml:space="preserve">316</t>
  </si>
  <si>
    <t xml:space="preserve">IMG_20260506_234244_1.jpg</t>
  </si>
  <si>
    <r>
      <rPr>
        <sz val="10"/>
        <rFont val="WenQuanYi Zen Hei"/>
        <family val="2"/>
      </rPr>
      <t xml:space="preserve">セブンイレブン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八王子万町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丁店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</si>
  <si>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電子マネー </t>
    </r>
    <r>
      <rPr>
        <sz val="10"/>
        <rFont val="Arial"/>
        <family val="0"/>
        <charset val="1"/>
      </rPr>
      <t xml:space="preserve">nanaco</t>
    </r>
  </si>
  <si>
    <t xml:space="preserve">331</t>
  </si>
  <si>
    <r>
      <rPr>
        <sz val="10"/>
        <rFont val="WenQuanYi Zen Hei"/>
        <family val="2"/>
      </rPr>
      <t xml:space="preserve">セブンイレブン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八王子万町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丁店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（社長立替・銀行明細に出ない支払）</t>
    </r>
  </si>
  <si>
    <t xml:space="preserve">IMG_20260506_234549_1.jpg</t>
  </si>
  <si>
    <r>
      <rPr>
        <sz val="10"/>
        <rFont val="WenQuanYi Zen Hei"/>
        <family val="2"/>
      </rPr>
      <t xml:space="preserve">一般社団法人 プロ・ファシリテーターズ・ユナイテッド（東京都八王子市南大沢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丁目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番地</t>
    </r>
    <r>
      <rPr>
        <sz val="10"/>
        <rFont val="Arial"/>
        <family val="0"/>
        <charset val="1"/>
      </rPr>
      <t xml:space="preserve">1-501</t>
    </r>
    <r>
      <rPr>
        <sz val="10"/>
        <rFont val="WenQuanYi Zen Hei"/>
        <family val="2"/>
      </rPr>
      <t xml:space="preserve">）</t>
    </r>
  </si>
  <si>
    <t xml:space="preserve">305</t>
  </si>
  <si>
    <r>
      <rPr>
        <sz val="10"/>
        <rFont val="WenQuanYi Zen Hei"/>
        <family val="2"/>
      </rPr>
      <t xml:space="preserve">既存</t>
    </r>
    <r>
      <rPr>
        <sz val="10"/>
        <rFont val="Arial"/>
        <family val="0"/>
        <charset val="1"/>
      </rPr>
      <t xml:space="preserve">No.305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4/6 </t>
    </r>
    <r>
      <rPr>
        <sz val="10"/>
        <rFont val="WenQuanYi Zen Hei"/>
        <family val="2"/>
      </rPr>
      <t xml:space="preserve">セミナー代）と同じ支払い（日付違い）と確認</t>
    </r>
  </si>
  <si>
    <r>
      <rPr>
        <sz val="10"/>
        <rFont val="WenQuanYi Zen Hei"/>
        <family val="2"/>
      </rPr>
      <t xml:space="preserve">一般社団法人 プロ・ファシリテーターズ・ユナイテッド（東京都八王子市南大沢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丁目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番地</t>
    </r>
    <r>
      <rPr>
        <sz val="10"/>
        <rFont val="Arial"/>
        <family val="0"/>
        <charset val="1"/>
      </rPr>
      <t xml:space="preserve">1-501</t>
    </r>
    <r>
      <rPr>
        <sz val="10"/>
        <rFont val="WenQuanYi Zen Hei"/>
        <family val="2"/>
      </rPr>
      <t xml:space="preserve">）（社長立替・銀行明細に出ない支払）</t>
    </r>
  </si>
  <si>
    <t xml:space="preserve">IMG_20260506_233908.jpg</t>
  </si>
  <si>
    <t xml:space="preserve">中華そば鴨福</t>
  </si>
  <si>
    <t xml:space="preserve">317</t>
  </si>
  <si>
    <t xml:space="preserve">中華そば鴨福（社長立替・銀行明細に出ない支払）</t>
  </si>
  <si>
    <t xml:space="preserve">IMG_20260506_234256.jpg</t>
  </si>
  <si>
    <r>
      <rPr>
        <sz val="10"/>
        <rFont val="WenQuanYi Zen Hei"/>
        <family val="2"/>
      </rPr>
      <t xml:space="preserve">領収書・レシート ／ 同日同額の別取引（</t>
    </r>
    <r>
      <rPr>
        <sz val="10"/>
        <rFont val="Arial"/>
        <family val="0"/>
        <charset val="1"/>
      </rPr>
      <t xml:space="preserve">12:12</t>
    </r>
    <r>
      <rPr>
        <sz val="10"/>
        <rFont val="WenQuanYi Zen Hei"/>
        <family val="2"/>
      </rPr>
      <t xml:space="preserve">発行／</t>
    </r>
    <r>
      <rPr>
        <sz val="10"/>
        <rFont val="Arial"/>
        <family val="0"/>
        <charset val="1"/>
      </rPr>
      <t xml:space="preserve">12:13</t>
    </r>
    <r>
      <rPr>
        <sz val="10"/>
        <rFont val="WenQuanYi Zen Hei"/>
        <family val="2"/>
      </rPr>
      <t xml:space="preserve">発行）</t>
    </r>
  </si>
  <si>
    <t xml:space="preserve">334</t>
  </si>
  <si>
    <t xml:space="preserve">IMG_20260506_234649.jpg</t>
  </si>
  <si>
    <r>
      <rPr>
        <sz val="10"/>
        <rFont val="Arial"/>
        <family val="0"/>
        <charset val="1"/>
      </rPr>
      <t xml:space="preserve">FDA </t>
    </r>
    <r>
      <rPr>
        <sz val="10"/>
        <rFont val="WenQuanYi Zen Hei"/>
        <family val="2"/>
      </rPr>
      <t xml:space="preserve">フジドリームエアラインズ 航空券 </t>
    </r>
    <r>
      <rPr>
        <sz val="10"/>
        <rFont val="Arial"/>
        <family val="0"/>
        <charset val="1"/>
      </rPr>
      <t xml:space="preserve">M3Y236</t>
    </r>
  </si>
  <si>
    <t xml:space="preserve">339</t>
  </si>
  <si>
    <r>
      <rPr>
        <sz val="10"/>
        <rFont val="Arial"/>
        <family val="0"/>
        <charset val="1"/>
      </rPr>
      <t xml:space="preserve">FDA </t>
    </r>
    <r>
      <rPr>
        <sz val="10"/>
        <rFont val="WenQuanYi Zen Hei"/>
        <family val="2"/>
      </rPr>
      <t xml:space="preserve">フジドリームエアラインズ 航空券 </t>
    </r>
    <r>
      <rPr>
        <sz val="10"/>
        <rFont val="Arial"/>
        <family val="0"/>
        <charset val="1"/>
      </rPr>
      <t xml:space="preserve">M3Y236</t>
    </r>
    <r>
      <rPr>
        <sz val="10"/>
        <rFont val="WenQuanYi Zen Hei"/>
        <family val="2"/>
      </rPr>
      <t xml:space="preserve">（社長立替・銀行明細に出ない支払）</t>
    </r>
  </si>
  <si>
    <r>
      <rPr>
        <sz val="10"/>
        <rFont val="WenQuanYi Zen Hei"/>
        <family val="2"/>
      </rPr>
      <t xml:space="preserve">領収書</t>
    </r>
    <r>
      <rPr>
        <sz val="10"/>
        <rFont val="Arial"/>
        <family val="0"/>
        <charset val="1"/>
      </rPr>
      <t xml:space="preserve">_2026-05-01_FDA_M3Y236.pdf</t>
    </r>
  </si>
  <si>
    <r>
      <rPr>
        <sz val="10"/>
        <rFont val="WenQuanYi Zen Hei"/>
        <family val="2"/>
      </rPr>
      <t xml:space="preserve">電子領収書（メール） ／ 予約番号</t>
    </r>
    <r>
      <rPr>
        <sz val="10"/>
        <rFont val="Arial"/>
        <family val="0"/>
        <charset val="1"/>
      </rPr>
      <t xml:space="preserve">M3Y236</t>
    </r>
    <r>
      <rPr>
        <sz val="10"/>
        <rFont val="WenQuanYi Zen Hei"/>
        <family val="2"/>
      </rPr>
      <t xml:space="preserve">・支払日</t>
    </r>
    <r>
      <rPr>
        <sz val="10"/>
        <rFont val="Arial"/>
        <family val="0"/>
        <charset val="1"/>
      </rPr>
      <t xml:space="preserve">2026/05/01</t>
    </r>
    <r>
      <rPr>
        <sz val="10"/>
        <rFont val="WenQuanYi Zen Hei"/>
        <family val="2"/>
      </rPr>
      <t xml:space="preserve">・</t>
    </r>
    <r>
      <rPr>
        <sz val="10"/>
        <rFont val="Arial"/>
        <family val="0"/>
        <charset val="1"/>
      </rPr>
      <t xml:space="preserve">288,700</t>
    </r>
    <r>
      <rPr>
        <sz val="10"/>
        <rFont val="WenQuanYi Zen Hei"/>
        <family val="2"/>
      </rPr>
      <t xml:space="preserve">円（税込・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）・支払方法 クレジットカード・宛名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同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クレア</t>
    </r>
  </si>
  <si>
    <t xml:space="preserve">563</t>
  </si>
  <si>
    <t xml:space="preserve">IMG_20260605_142015.jpg</t>
  </si>
  <si>
    <r>
      <rPr>
        <sz val="10"/>
        <rFont val="WenQuanYi Zen Hei"/>
        <family val="2"/>
      </rPr>
      <t xml:space="preserve">領収書・レシート ／ 同日同額の別取引（</t>
    </r>
    <r>
      <rPr>
        <sz val="10"/>
        <rFont val="Arial"/>
        <family val="0"/>
        <charset val="1"/>
      </rPr>
      <t xml:space="preserve">23:21</t>
    </r>
    <r>
      <rPr>
        <sz val="10"/>
        <rFont val="WenQuanYi Zen Hei"/>
        <family val="2"/>
      </rPr>
      <t xml:space="preserve">発行／</t>
    </r>
    <r>
      <rPr>
        <sz val="10"/>
        <rFont val="Arial"/>
        <family val="0"/>
        <charset val="1"/>
      </rPr>
      <t xml:space="preserve">23:26</t>
    </r>
    <r>
      <rPr>
        <sz val="10"/>
        <rFont val="WenQuanYi Zen Hei"/>
        <family val="2"/>
      </rPr>
      <t xml:space="preserve">発行）</t>
    </r>
  </si>
  <si>
    <t xml:space="preserve">566</t>
  </si>
  <si>
    <t xml:space="preserve">IMG_20260605_142148.jpg</t>
  </si>
  <si>
    <t xml:space="preserve">575</t>
  </si>
  <si>
    <t xml:space="preserve">IMG_20260605_142641.jpg</t>
  </si>
  <si>
    <t xml:space="preserve">565</t>
  </si>
  <si>
    <t xml:space="preserve">IMG_20260605_142139.jpg</t>
  </si>
  <si>
    <r>
      <rPr>
        <sz val="10"/>
        <rFont val="WenQuanYi Zen Hei"/>
        <family val="2"/>
      </rPr>
      <t xml:space="preserve">セブン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イレブン八王子上野町店（プリント代）</t>
    </r>
  </si>
  <si>
    <t xml:space="preserve">1710</t>
  </si>
  <si>
    <r>
      <rPr>
        <sz val="10"/>
        <rFont val="WenQuanYi Zen Hei"/>
        <family val="2"/>
      </rPr>
      <t xml:space="preserve">セブン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イレブン八王子上野町店（プリント代）（社長立替・銀行明細に出ない支払）</t>
    </r>
  </si>
  <si>
    <t xml:space="preserve">scan20260727_p026.jpg</t>
  </si>
  <si>
    <r>
      <rPr>
        <sz val="10"/>
        <rFont val="WenQuanYi Zen Hei"/>
        <family val="2"/>
      </rPr>
      <t xml:space="preserve">セブン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イレブン八王子上野町店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証明書代</t>
    </r>
    <r>
      <rPr>
        <sz val="10"/>
        <rFont val="Arial"/>
        <family val="0"/>
        <charset val="1"/>
      </rPr>
      <t xml:space="preserve">)</t>
    </r>
  </si>
  <si>
    <t xml:space="preserve">570</t>
  </si>
  <si>
    <r>
      <rPr>
        <sz val="10"/>
        <rFont val="WenQuanYi Zen Hei"/>
        <family val="2"/>
      </rPr>
      <t xml:space="preserve">セブン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イレブン八王子上野町店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証明書代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（社長立替・銀行明細に出ない支払）</t>
    </r>
  </si>
  <si>
    <t xml:space="preserve">IMG_20260605_142719.jpg</t>
  </si>
  <si>
    <r>
      <rPr>
        <sz val="10"/>
        <rFont val="WenQuanYi Zen Hei"/>
        <family val="2"/>
      </rPr>
      <t xml:space="preserve">日本郵便 八王子上野町郵便局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収入印紙</t>
    </r>
    <r>
      <rPr>
        <sz val="10"/>
        <rFont val="Arial"/>
        <family val="0"/>
        <charset val="1"/>
      </rPr>
      <t xml:space="preserve">)</t>
    </r>
  </si>
  <si>
    <t xml:space="preserve">568</t>
  </si>
  <si>
    <r>
      <rPr>
        <sz val="10"/>
        <rFont val="WenQuanYi Zen Hei"/>
        <family val="2"/>
      </rPr>
      <t xml:space="preserve">日本郵便 八王子上野町郵便局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収入印紙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（社長立替・銀行明細に出ない支払）</t>
    </r>
  </si>
  <si>
    <t xml:space="preserve">IMG_20260605_141928.jpg</t>
  </si>
  <si>
    <t xml:space="preserve">569</t>
  </si>
  <si>
    <t xml:space="preserve">IMG_20260605_142336.jpg</t>
  </si>
  <si>
    <t xml:space="preserve">573</t>
  </si>
  <si>
    <t xml:space="preserve">IMG_20260605_142618.jpg</t>
  </si>
  <si>
    <t xml:space="preserve">564</t>
  </si>
  <si>
    <t xml:space="preserve">IMG_20260605_142129.jpg</t>
  </si>
  <si>
    <r>
      <rPr>
        <sz val="10"/>
        <rFont val="WenQuanYi Zen Hei"/>
        <family val="2"/>
      </rPr>
      <t xml:space="preserve">一般財団法人民事法務協会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収入印紙</t>
    </r>
    <r>
      <rPr>
        <sz val="10"/>
        <rFont val="Arial"/>
        <family val="0"/>
        <charset val="1"/>
      </rPr>
      <t xml:space="preserve">)</t>
    </r>
  </si>
  <si>
    <t xml:space="preserve">1711</t>
  </si>
  <si>
    <r>
      <rPr>
        <sz val="10"/>
        <rFont val="WenQuanYi Zen Hei"/>
        <family val="2"/>
      </rPr>
      <t xml:space="preserve">一般財団法人民事法務協会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収入印紙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（社長立替・銀行明細に出ない支払）</t>
    </r>
  </si>
  <si>
    <t xml:space="preserve">IMG_20260605_141629.jpg</t>
  </si>
  <si>
    <t xml:space="preserve">574</t>
  </si>
  <si>
    <t xml:space="preserve">IMG_20260605_142625.jpg</t>
  </si>
  <si>
    <t xml:space="preserve">576</t>
  </si>
  <si>
    <t xml:space="preserve">IMG_20260605_142648.jpg</t>
  </si>
  <si>
    <t xml:space="preserve">IMG_20260605_142633.jpg</t>
  </si>
  <si>
    <r>
      <rPr>
        <sz val="10"/>
        <rFont val="WenQuanYi Zen Hei"/>
        <family val="2"/>
      </rPr>
      <t xml:space="preserve">手書き領収証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八王子市南新町</t>
    </r>
    <r>
      <rPr>
        <sz val="10"/>
        <rFont val="Arial"/>
        <family val="0"/>
        <charset val="1"/>
      </rPr>
      <t xml:space="preserve">)</t>
    </r>
  </si>
  <si>
    <t xml:space="preserve">1787</t>
  </si>
  <si>
    <t xml:space="preserve">雑費</t>
  </si>
  <si>
    <t xml:space="preserve">内容確認のうえ雑費・摘要なしで登録</t>
  </si>
  <si>
    <r>
      <rPr>
        <sz val="10"/>
        <rFont val="WenQuanYi Zen Hei"/>
        <family val="2"/>
      </rPr>
      <t xml:space="preserve">手書き領収証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八王子市南新町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（社長立替・銀行明細に出ない支払）</t>
    </r>
  </si>
  <si>
    <t xml:space="preserve">IMG_20260605_141514.jpg</t>
  </si>
  <si>
    <t xml:space="preserve">ローソン 八王子南新町店</t>
  </si>
  <si>
    <t xml:space="preserve">1712</t>
  </si>
  <si>
    <r>
      <rPr>
        <sz val="10"/>
        <rFont val="WenQuanYi Zen Hei"/>
        <family val="2"/>
      </rPr>
      <t xml:space="preserve">勘定科目は</t>
    </r>
    <r>
      <rPr>
        <sz val="10"/>
        <rFont val="Arial"/>
        <family val="0"/>
        <charset val="1"/>
      </rPr>
      <t xml:space="preserve">CSV</t>
    </r>
    <r>
      <rPr>
        <sz val="10"/>
        <rFont val="WenQuanYi Zen Hei"/>
        <family val="2"/>
      </rPr>
      <t xml:space="preserve">空欄のため推定。必要なら修正してください</t>
    </r>
  </si>
  <si>
    <t xml:space="preserve">ローソン 八王子南新町店（社長立替・銀行明細に出ない支払）</t>
  </si>
  <si>
    <t xml:space="preserve">scan20260727_p005.jpg</t>
  </si>
  <si>
    <t xml:space="preserve">1713</t>
  </si>
  <si>
    <r>
      <rPr>
        <sz val="10"/>
        <rFont val="Arial"/>
        <family val="0"/>
        <charset val="1"/>
      </rPr>
      <t xml:space="preserve">2026.7 p-one.pdf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P-one</t>
    </r>
    <r>
      <rPr>
        <sz val="10"/>
        <rFont val="WenQuanYi Zen Hei"/>
        <family val="2"/>
      </rPr>
      <t xml:space="preserve">明細・領収書なし）</t>
    </r>
  </si>
  <si>
    <t xml:space="preserve">パン工房ボンシュシュ（八王子市横山町）</t>
  </si>
  <si>
    <t xml:space="preserve">クレジット</t>
  </si>
  <si>
    <t xml:space="preserve">1714</t>
  </si>
  <si>
    <r>
      <rPr>
        <sz val="10"/>
        <rFont val="WenQuanYi Zen Hei"/>
        <family val="2"/>
      </rPr>
      <t xml:space="preserve">軽減</t>
    </r>
    <r>
      <rPr>
        <sz val="10"/>
        <rFont val="Arial"/>
        <family val="0"/>
        <charset val="1"/>
      </rPr>
      <t xml:space="preserve">8%</t>
    </r>
  </si>
  <si>
    <t xml:space="preserve">パン工房ボンシュシュ（八王子市横山町）（社長立替・銀行明細に出ない支払）</t>
  </si>
  <si>
    <r>
      <rPr>
        <sz val="10"/>
        <rFont val="Arial"/>
        <family val="0"/>
        <charset val="1"/>
      </rPr>
      <t xml:space="preserve">2026.9 </t>
    </r>
    <r>
      <rPr>
        <sz val="10"/>
        <rFont val="WenQuanYi Zen Hei"/>
        <family val="2"/>
      </rPr>
      <t xml:space="preserve">法人領収書　スキャン</t>
    </r>
    <r>
      <rPr>
        <sz val="10"/>
        <rFont val="Arial"/>
        <family val="0"/>
        <charset val="1"/>
      </rPr>
      <t xml:space="preserve">_20261005-1358.pdf p14</t>
    </r>
  </si>
  <si>
    <t xml:space="preserve">つけ麺 アメミ屋</t>
  </si>
  <si>
    <t xml:space="preserve">1715</t>
  </si>
  <si>
    <t xml:space="preserve">つけ麺 アメミ屋（社長立替・銀行明細に出ない支払）</t>
  </si>
  <si>
    <t xml:space="preserve">scan20260727_p010.jpg</t>
  </si>
  <si>
    <t xml:space="preserve">1716</t>
  </si>
  <si>
    <t xml:space="preserve">scan20260727_p012.jpg</t>
  </si>
  <si>
    <t xml:space="preserve">たんや奥村（新宿区西新宿）</t>
  </si>
  <si>
    <t xml:space="preserve">1717</t>
  </si>
  <si>
    <t xml:space="preserve">たんや奥村（新宿区西新宿）（社長立替・銀行明細に出ない支払）</t>
  </si>
  <si>
    <t xml:space="preserve">scan20260727_p013.jpg</t>
  </si>
  <si>
    <t xml:space="preserve">つけ麺 アメミ屋（八王子市台町）</t>
  </si>
  <si>
    <t xml:space="preserve">1718</t>
  </si>
  <si>
    <t xml:space="preserve">つけ麺 アメミ屋（八王子市台町）（社長立替・銀行明細に出ない支払）</t>
  </si>
  <si>
    <t xml:space="preserve">scan20260727_p003.jpg</t>
  </si>
  <si>
    <t xml:space="preserve">イーアス高尾店</t>
  </si>
  <si>
    <t xml:space="preserve">1719</t>
  </si>
  <si>
    <t xml:space="preserve">イーアス高尾店（社長立替・銀行明細に出ない支払）</t>
  </si>
  <si>
    <r>
      <rPr>
        <sz val="10"/>
        <rFont val="Arial"/>
        <family val="0"/>
        <charset val="1"/>
      </rPr>
      <t xml:space="preserve">2026.9 </t>
    </r>
    <r>
      <rPr>
        <sz val="10"/>
        <rFont val="WenQuanYi Zen Hei"/>
        <family val="2"/>
      </rPr>
      <t xml:space="preserve">法人領収書　スキャン</t>
    </r>
    <r>
      <rPr>
        <sz val="10"/>
        <rFont val="Arial"/>
        <family val="0"/>
        <charset val="1"/>
      </rPr>
      <t xml:space="preserve">_20261005-1358.pdf p13</t>
    </r>
  </si>
  <si>
    <t xml:space="preserve">1720</t>
  </si>
  <si>
    <r>
      <rPr>
        <sz val="10"/>
        <rFont val="Arial"/>
        <family val="0"/>
        <charset val="1"/>
      </rPr>
      <t xml:space="preserve">2026.9 </t>
    </r>
    <r>
      <rPr>
        <sz val="10"/>
        <rFont val="WenQuanYi Zen Hei"/>
        <family val="2"/>
      </rPr>
      <t xml:space="preserve">法人領収書　スキャン</t>
    </r>
    <r>
      <rPr>
        <sz val="10"/>
        <rFont val="Arial"/>
        <family val="0"/>
        <charset val="1"/>
      </rPr>
      <t xml:space="preserve">_20261005-1358.pdf p12</t>
    </r>
  </si>
  <si>
    <r>
      <rPr>
        <sz val="10"/>
        <rFont val="WenQuanYi Zen Hei"/>
        <family val="2"/>
      </rPr>
      <t xml:space="preserve">セブン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イレブン八王子上野町店（証明書代）</t>
    </r>
  </si>
  <si>
    <t xml:space="preserve">1721</t>
  </si>
  <si>
    <r>
      <rPr>
        <sz val="10"/>
        <rFont val="WenQuanYi Zen Hei"/>
        <family val="2"/>
      </rPr>
      <t xml:space="preserve">セブン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イレブン八王子上野町店（証明書代）（社長立替・銀行明細に出ない支払）</t>
    </r>
  </si>
  <si>
    <t xml:space="preserve">scan20260727_p020.jpg</t>
  </si>
  <si>
    <t xml:space="preserve">1722</t>
  </si>
  <si>
    <t xml:space="preserve">scan20260727_p032.jpg</t>
  </si>
  <si>
    <t xml:space="preserve">日本郵便 八王子上野町郵便局（レターパック）</t>
  </si>
  <si>
    <t xml:space="preserve">1723</t>
  </si>
  <si>
    <r>
      <rPr>
        <sz val="10"/>
        <rFont val="WenQuanYi Zen Hei"/>
        <family val="2"/>
      </rPr>
      <t xml:space="preserve">日本郵便 八王子上野町郵便局（レターパック）／レターパックライト（</t>
    </r>
    <r>
      <rPr>
        <sz val="10"/>
        <rFont val="Arial"/>
        <family val="0"/>
        <charset val="1"/>
      </rPr>
      <t xml:space="preserve">430</t>
    </r>
    <r>
      <rPr>
        <sz val="10"/>
        <rFont val="WenQuanYi Zen Hei"/>
        <family val="2"/>
      </rPr>
      <t xml:space="preserve">円）（社長立替・銀行明細に出ない支払）</t>
    </r>
  </si>
  <si>
    <t xml:space="preserve">scan20260727_p030.jpg</t>
  </si>
  <si>
    <t xml:space="preserve">1724</t>
  </si>
  <si>
    <t xml:space="preserve">ＬＩＮＥ公式アカウント</t>
  </si>
  <si>
    <t xml:space="preserve">1725</t>
  </si>
  <si>
    <t xml:space="preserve">ＬＩＮＥ公式アカウント（社長立替・銀行明細に出ない支払）</t>
  </si>
  <si>
    <r>
      <rPr>
        <sz val="10"/>
        <rFont val="WenQuanYi Zen Hei"/>
        <family val="2"/>
      </rPr>
      <t xml:space="preserve">セブン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イレブン八王子上野町店</t>
    </r>
  </si>
  <si>
    <t xml:space="preserve">1726</t>
  </si>
  <si>
    <r>
      <rPr>
        <sz val="10"/>
        <rFont val="WenQuanYi Zen Hei"/>
        <family val="2"/>
      </rPr>
      <t xml:space="preserve">セブン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イレブン八王子上野町店（社長立替・銀行明細に出ない支払）</t>
    </r>
  </si>
  <si>
    <r>
      <rPr>
        <sz val="10"/>
        <rFont val="Arial"/>
        <family val="0"/>
        <charset val="1"/>
      </rPr>
      <t xml:space="preserve">2026-07_</t>
    </r>
    <r>
      <rPr>
        <sz val="10"/>
        <rFont val="WenQuanYi Zen Hei"/>
        <family val="2"/>
      </rPr>
      <t xml:space="preserve">紙領収書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追加分</t>
    </r>
    <r>
      <rPr>
        <sz val="10"/>
        <rFont val="Arial"/>
        <family val="0"/>
        <charset val="1"/>
      </rPr>
      <t xml:space="preserve">_2026-09-02/ </t>
    </r>
    <r>
      <rPr>
        <sz val="10"/>
        <rFont val="WenQuanYi Zen Hei"/>
        <family val="2"/>
      </rPr>
      <t xml:space="preserve">法人</t>
    </r>
    <r>
      <rPr>
        <sz val="10"/>
        <rFont val="Arial"/>
        <family val="0"/>
        <charset val="1"/>
      </rPr>
      <t xml:space="preserve">p16</t>
    </r>
  </si>
  <si>
    <t xml:space="preserve">日本郵便株式会社（八王子上野町郵便局）</t>
  </si>
  <si>
    <t xml:space="preserve">1727</t>
  </si>
  <si>
    <t xml:space="preserve">日本郵便株式会社（八王子上野町郵便局）（社長立替・銀行明細に出ない支払）</t>
  </si>
  <si>
    <r>
      <rPr>
        <sz val="10"/>
        <rFont val="Arial"/>
        <family val="0"/>
        <charset val="1"/>
      </rPr>
      <t xml:space="preserve">2026-07_</t>
    </r>
    <r>
      <rPr>
        <sz val="10"/>
        <rFont val="WenQuanYi Zen Hei"/>
        <family val="2"/>
      </rPr>
      <t xml:space="preserve">紙領収書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追加分</t>
    </r>
    <r>
      <rPr>
        <sz val="10"/>
        <rFont val="Arial"/>
        <family val="0"/>
        <charset val="1"/>
      </rPr>
      <t xml:space="preserve">_2026-09-02/ </t>
    </r>
    <r>
      <rPr>
        <sz val="10"/>
        <rFont val="WenQuanYi Zen Hei"/>
        <family val="2"/>
      </rPr>
      <t xml:space="preserve">法人</t>
    </r>
    <r>
      <rPr>
        <sz val="10"/>
        <rFont val="Arial"/>
        <family val="0"/>
        <charset val="1"/>
      </rPr>
      <t xml:space="preserve">p15</t>
    </r>
  </si>
  <si>
    <t xml:space="preserve">民事法務協会 東京法務局八王子支局内印紙売場</t>
  </si>
  <si>
    <t xml:space="preserve">1728</t>
  </si>
  <si>
    <t xml:space="preserve">民事法務協会 東京法務局八王子支局内印紙売場（社長立替・銀行明細に出ない支払）</t>
  </si>
  <si>
    <t xml:space="preserve">scan20260727_p050.jpg</t>
  </si>
  <si>
    <t xml:space="preserve">1729</t>
  </si>
  <si>
    <r>
      <rPr>
        <sz val="10"/>
        <rFont val="Arial"/>
        <family val="0"/>
        <charset val="1"/>
      </rPr>
      <t xml:space="preserve">2026.8 p-one.pdf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P-one</t>
    </r>
    <r>
      <rPr>
        <sz val="10"/>
        <rFont val="WenQuanYi Zen Hei"/>
        <family val="2"/>
      </rPr>
      <t xml:space="preserve">明細・領収書なし）</t>
    </r>
  </si>
  <si>
    <t xml:space="preserve">1730</t>
  </si>
  <si>
    <t xml:space="preserve">scan20260727_p041.jpg</t>
  </si>
  <si>
    <r>
      <rPr>
        <sz val="10"/>
        <rFont val="WenQuanYi Zen Hei"/>
        <family val="2"/>
      </rPr>
      <t xml:space="preserve">麦彩の丘駐車場（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株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四季彩の丘）</t>
    </r>
  </si>
  <si>
    <t xml:space="preserve">1733</t>
  </si>
  <si>
    <r>
      <rPr>
        <sz val="10"/>
        <rFont val="WenQuanYi Zen Hei"/>
        <family val="2"/>
      </rPr>
      <t xml:space="preserve">麦彩の丘駐車場（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株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四季彩の丘）（社長立替・銀行明細に出ない支払）</t>
    </r>
  </si>
  <si>
    <t xml:space="preserve">scan20260727_p083.jpg</t>
  </si>
  <si>
    <r>
      <rPr>
        <sz val="10"/>
        <rFont val="WenQuanYi Zen Hei"/>
        <family val="2"/>
      </rPr>
      <t xml:space="preserve">領収書・レシート ／ </t>
    </r>
    <r>
      <rPr>
        <sz val="10"/>
        <rFont val="Arial"/>
        <family val="0"/>
        <charset val="1"/>
      </rPr>
      <t xml:space="preserve">7/13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15 </t>
    </r>
    <r>
      <rPr>
        <sz val="10"/>
        <rFont val="WenQuanYi Zen Hei"/>
        <family val="2"/>
      </rPr>
      <t xml:space="preserve">北海道での支払い</t>
    </r>
  </si>
  <si>
    <r>
      <rPr>
        <sz val="10"/>
        <rFont val="WenQuanYi Zen Hei"/>
        <family val="2"/>
      </rPr>
      <t xml:space="preserve">青い池駐車場（タイムズ</t>
    </r>
    <r>
      <rPr>
        <sz val="10"/>
        <rFont val="Arial"/>
        <family val="0"/>
        <charset val="1"/>
      </rPr>
      <t xml:space="preserve">24)</t>
    </r>
  </si>
  <si>
    <t xml:space="preserve">1735</t>
  </si>
  <si>
    <r>
      <rPr>
        <sz val="10"/>
        <rFont val="WenQuanYi Zen Hei"/>
        <family val="2"/>
      </rPr>
      <t xml:space="preserve">青い池駐車場（タイムズ</t>
    </r>
    <r>
      <rPr>
        <sz val="10"/>
        <rFont val="Arial"/>
        <family val="0"/>
        <charset val="1"/>
      </rPr>
      <t xml:space="preserve">24)</t>
    </r>
    <r>
      <rPr>
        <sz val="10"/>
        <rFont val="WenQuanYi Zen Hei"/>
        <family val="2"/>
      </rPr>
      <t xml:space="preserve">（社長立替・銀行明細に出ない支払）</t>
    </r>
  </si>
  <si>
    <t xml:space="preserve">scan20260727_p084.jpg</t>
  </si>
  <si>
    <r>
      <rPr>
        <sz val="10"/>
        <rFont val="WenQuanYi Zen Hei"/>
        <family val="2"/>
      </rPr>
      <t xml:space="preserve">セブン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イレブン富良野若松町店</t>
    </r>
  </si>
  <si>
    <r>
      <rPr>
        <sz val="10"/>
        <rFont val="Arial"/>
        <family val="0"/>
        <charset val="1"/>
      </rPr>
      <t xml:space="preserve">QUICPay</t>
    </r>
    <r>
      <rPr>
        <sz val="10"/>
        <rFont val="WenQuanYi Zen Hei"/>
        <family val="2"/>
      </rPr>
      <t xml:space="preserve">（番号不明）</t>
    </r>
  </si>
  <si>
    <t xml:space="preserve">1736</t>
  </si>
  <si>
    <r>
      <rPr>
        <sz val="10"/>
        <rFont val="WenQuanYi Zen Hei"/>
        <family val="2"/>
      </rPr>
      <t xml:space="preserve">セブン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イレブン富良野若松町店（社長立替・銀行明細に出ない支払）</t>
    </r>
  </si>
  <si>
    <t xml:space="preserve">scan20260727_p080.jpg</t>
  </si>
  <si>
    <t xml:space="preserve">四季彩の丘（北海道美瑛町）</t>
  </si>
  <si>
    <t xml:space="preserve">1737</t>
  </si>
  <si>
    <t xml:space="preserve">四季彩の丘（北海道美瑛町）（社長立替・銀行明細に出ない支払）</t>
  </si>
  <si>
    <t xml:space="preserve">scan20260727_p060.jpg</t>
  </si>
  <si>
    <t xml:space="preserve">ニッポンレンタカー ススキノ</t>
  </si>
  <si>
    <t xml:space="preserve">1740</t>
  </si>
  <si>
    <t xml:space="preserve">ニッポンレンタカー ススキノ（社長立替・銀行明細に出ない支払）</t>
  </si>
  <si>
    <t xml:space="preserve">scan20260727_p082.jpg + scan20260727_p081.jpg</t>
  </si>
  <si>
    <r>
      <rPr>
        <sz val="10"/>
        <rFont val="WenQuanYi Zen Hei"/>
        <family val="2"/>
      </rPr>
      <t xml:space="preserve">レシート＋カード売上票 ／ </t>
    </r>
    <r>
      <rPr>
        <sz val="10"/>
        <rFont val="Arial"/>
        <family val="0"/>
        <charset val="1"/>
      </rPr>
      <t xml:space="preserve">7/13</t>
    </r>
    <r>
      <rPr>
        <sz val="10"/>
        <rFont val="WenQuanYi Zen Hei"/>
        <family val="2"/>
      </rPr>
      <t xml:space="preserve">〜</t>
    </r>
    <r>
      <rPr>
        <sz val="10"/>
        <rFont val="Arial"/>
        <family val="0"/>
        <charset val="1"/>
      </rPr>
      <t xml:space="preserve">15 </t>
    </r>
    <r>
      <rPr>
        <sz val="10"/>
        <rFont val="WenQuanYi Zen Hei"/>
        <family val="2"/>
      </rPr>
      <t xml:space="preserve">北海道での支払い</t>
    </r>
  </si>
  <si>
    <t xml:space="preserve">1742</t>
  </si>
  <si>
    <t xml:space="preserve">さっぽろ東急 千歳空港売店</t>
  </si>
  <si>
    <r>
      <rPr>
        <sz val="10"/>
        <rFont val="Arial"/>
        <family val="0"/>
        <charset val="1"/>
      </rPr>
      <t xml:space="preserve">JCB</t>
    </r>
    <r>
      <rPr>
        <sz val="10"/>
        <rFont val="WenQuanYi Zen Hei"/>
        <family val="2"/>
      </rPr>
      <t xml:space="preserve">クレジット</t>
    </r>
  </si>
  <si>
    <t xml:space="preserve">1743</t>
  </si>
  <si>
    <t xml:space="preserve">さっぽろ東急 千歳空港売店（社長立替・銀行明細に出ない支払）</t>
  </si>
  <si>
    <t xml:space="preserve">scan20260727_p073.jpg</t>
  </si>
  <si>
    <t xml:space="preserve">1744</t>
  </si>
  <si>
    <t xml:space="preserve">scan20260727_p086.jpg</t>
  </si>
  <si>
    <t xml:space="preserve">うし川</t>
  </si>
  <si>
    <t xml:space="preserve">1746</t>
  </si>
  <si>
    <t xml:space="preserve">うし川（社長立替・銀行明細に出ない支払）</t>
  </si>
  <si>
    <t xml:space="preserve">scan20260801_p012.jpg</t>
  </si>
  <si>
    <r>
      <rPr>
        <sz val="10"/>
        <rFont val="WenQuanYi Zen Hei"/>
        <family val="2"/>
      </rPr>
      <t xml:space="preserve">セブン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イレブン八王子駅南店</t>
    </r>
  </si>
  <si>
    <t xml:space="preserve">1747</t>
  </si>
  <si>
    <r>
      <rPr>
        <sz val="10"/>
        <rFont val="WenQuanYi Zen Hei"/>
        <family val="2"/>
      </rPr>
      <t xml:space="preserve">セブン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イレブン八王子駅南店（社長立替・銀行明細に出ない支払）</t>
    </r>
  </si>
  <si>
    <t xml:space="preserve">scan20260801_p011.jpg</t>
  </si>
  <si>
    <t xml:space="preserve">タリーズコーヒー 九段会館テラス店</t>
  </si>
  <si>
    <r>
      <rPr>
        <sz val="10"/>
        <rFont val="WenQuanYi Zen Hei"/>
        <family val="2"/>
      </rPr>
      <t xml:space="preserve">デジタルギフト＋交通系</t>
    </r>
    <r>
      <rPr>
        <sz val="10"/>
        <rFont val="Arial"/>
        <family val="0"/>
        <charset val="1"/>
      </rPr>
      <t xml:space="preserve">IC</t>
    </r>
    <r>
      <rPr>
        <sz val="10"/>
        <rFont val="WenQuanYi Zen Hei"/>
        <family val="2"/>
      </rPr>
      <t xml:space="preserve">（タリーズカード）</t>
    </r>
  </si>
  <si>
    <t xml:space="preserve">1749</t>
  </si>
  <si>
    <t xml:space="preserve">タリーズコーヒー 九段会館テラス店（社長立替・銀行明細に出ない支払）</t>
  </si>
  <si>
    <t xml:space="preserve">scan20260801_p010.jpg</t>
  </si>
  <si>
    <t xml:space="preserve">ＧＯ（タクシーアプリ）＊アプリ配車</t>
  </si>
  <si>
    <t xml:space="preserve">1750</t>
  </si>
  <si>
    <t xml:space="preserve">ＧＯ（タクシーアプリ）＊アプリ配車（社長立替・銀行明細に出ない支払）</t>
  </si>
  <si>
    <r>
      <rPr>
        <sz val="10"/>
        <rFont val="WenQuanYi Zen Hei"/>
        <family val="2"/>
      </rPr>
      <t xml:space="preserve">セブン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イレブン八王子富士森公園北店</t>
    </r>
  </si>
  <si>
    <t xml:space="preserve">1751</t>
  </si>
  <si>
    <r>
      <rPr>
        <sz val="10"/>
        <rFont val="WenQuanYi Zen Hei"/>
        <family val="2"/>
      </rPr>
      <t xml:space="preserve">セブン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イレブン八王子富士森公園北店（社長立替・銀行明細に出ない支払）</t>
    </r>
  </si>
  <si>
    <t xml:space="preserve">scan20260801_p002.jpg</t>
  </si>
  <si>
    <r>
      <rPr>
        <sz val="10"/>
        <rFont val="WenQuanYi Zen Hei"/>
        <family val="2"/>
      </rPr>
      <t xml:space="preserve">アパルトマン</t>
    </r>
    <r>
      <rPr>
        <sz val="10"/>
        <rFont val="Arial"/>
        <family val="0"/>
        <charset val="1"/>
      </rPr>
      <t xml:space="preserve">HD</t>
    </r>
    <r>
      <rPr>
        <sz val="10"/>
        <rFont val="WenQuanYi Zen Hei"/>
        <family val="2"/>
      </rPr>
      <t xml:space="preserve">株式会社 </t>
    </r>
    <r>
      <rPr>
        <sz val="10"/>
        <rFont val="Arial"/>
        <family val="0"/>
        <charset val="1"/>
      </rPr>
      <t xml:space="preserve">CHARISTA</t>
    </r>
    <r>
      <rPr>
        <sz val="10"/>
        <rFont val="WenQuanYi Zen Hei"/>
        <family val="2"/>
      </rPr>
      <t xml:space="preserve">八王子駅前駐輪場</t>
    </r>
  </si>
  <si>
    <t xml:space="preserve">1752</t>
  </si>
  <si>
    <r>
      <rPr>
        <sz val="10"/>
        <rFont val="WenQuanYi Zen Hei"/>
        <family val="2"/>
      </rPr>
      <t xml:space="preserve">アパルトマン</t>
    </r>
    <r>
      <rPr>
        <sz val="10"/>
        <rFont val="Arial"/>
        <family val="0"/>
        <charset val="1"/>
      </rPr>
      <t xml:space="preserve">HD</t>
    </r>
    <r>
      <rPr>
        <sz val="10"/>
        <rFont val="WenQuanYi Zen Hei"/>
        <family val="2"/>
      </rPr>
      <t xml:space="preserve">株式会社 </t>
    </r>
    <r>
      <rPr>
        <sz val="10"/>
        <rFont val="Arial"/>
        <family val="0"/>
        <charset val="1"/>
      </rPr>
      <t xml:space="preserve">CHARISTA</t>
    </r>
    <r>
      <rPr>
        <sz val="10"/>
        <rFont val="WenQuanYi Zen Hei"/>
        <family val="2"/>
      </rPr>
      <t xml:space="preserve">八王子駅前駐輪場（社長立替・銀行明細に出ない支払）</t>
    </r>
  </si>
  <si>
    <t xml:space="preserve">scan20260801_p001.jpg</t>
  </si>
  <si>
    <t xml:space="preserve">1768</t>
  </si>
  <si>
    <t xml:space="preserve">1769</t>
  </si>
  <si>
    <t xml:space="preserve">1770</t>
  </si>
  <si>
    <r>
      <rPr>
        <sz val="10"/>
        <rFont val="WenQuanYi Zen Hei"/>
        <family val="2"/>
      </rPr>
      <t xml:space="preserve">セブン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イレブン 八王子上野町店</t>
    </r>
  </si>
  <si>
    <t xml:space="preserve">1058</t>
  </si>
  <si>
    <r>
      <rPr>
        <sz val="10"/>
        <rFont val="WenQuanYi Zen Hei"/>
        <family val="2"/>
      </rPr>
      <t xml:space="preserve">セブン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イレブン 八王子上野町店（社長立替・銀行明細に出ない支払）</t>
    </r>
  </si>
  <si>
    <r>
      <rPr>
        <sz val="10"/>
        <rFont val="WenQuanYi Zen Hei"/>
        <family val="2"/>
      </rPr>
      <t xml:space="preserve">領収書</t>
    </r>
    <r>
      <rPr>
        <sz val="10"/>
        <rFont val="Arial"/>
        <family val="0"/>
        <charset val="1"/>
      </rPr>
      <t xml:space="preserve">_2026-08_</t>
    </r>
    <r>
      <rPr>
        <sz val="10"/>
        <rFont val="WenQuanYi Zen Hei"/>
        <family val="2"/>
      </rPr>
      <t xml:space="preserve">紙領収書</t>
    </r>
    <r>
      <rPr>
        <sz val="10"/>
        <rFont val="Arial"/>
        <family val="0"/>
        <charset val="1"/>
      </rPr>
      <t xml:space="preserve">_batch_2026-09-02.pdf p29</t>
    </r>
  </si>
  <si>
    <t xml:space="preserve">1057</t>
  </si>
  <si>
    <r>
      <rPr>
        <sz val="10"/>
        <rFont val="WenQuanYi Zen Hei"/>
        <family val="2"/>
      </rPr>
      <t xml:space="preserve">領収書</t>
    </r>
    <r>
      <rPr>
        <sz val="10"/>
        <rFont val="Arial"/>
        <family val="0"/>
        <charset val="1"/>
      </rPr>
      <t xml:space="preserve">_2026-08_</t>
    </r>
    <r>
      <rPr>
        <sz val="10"/>
        <rFont val="WenQuanYi Zen Hei"/>
        <family val="2"/>
      </rPr>
      <t xml:space="preserve">紙領収書</t>
    </r>
    <r>
      <rPr>
        <sz val="10"/>
        <rFont val="Arial"/>
        <family val="0"/>
        <charset val="1"/>
      </rPr>
      <t xml:space="preserve">_batch_2026-09-02.pdf p32</t>
    </r>
  </si>
  <si>
    <r>
      <rPr>
        <sz val="10"/>
        <rFont val="Arial"/>
        <family val="0"/>
        <charset val="1"/>
      </rPr>
      <t xml:space="preserve">CHARISTA </t>
    </r>
    <r>
      <rPr>
        <sz val="10"/>
        <rFont val="WenQuanYi Zen Hei"/>
        <family val="2"/>
      </rPr>
      <t xml:space="preserve">八王子駅前駐輪場（アパルトマン</t>
    </r>
    <r>
      <rPr>
        <sz val="10"/>
        <rFont val="Arial"/>
        <family val="0"/>
        <charset val="1"/>
      </rPr>
      <t xml:space="preserve">HD</t>
    </r>
    <r>
      <rPr>
        <sz val="10"/>
        <rFont val="WenQuanYi Zen Hei"/>
        <family val="2"/>
      </rPr>
      <t xml:space="preserve">株式会社）</t>
    </r>
  </si>
  <si>
    <t xml:space="preserve">1061</t>
  </si>
  <si>
    <r>
      <rPr>
        <sz val="10"/>
        <rFont val="Arial"/>
        <family val="0"/>
        <charset val="1"/>
      </rPr>
      <t xml:space="preserve">CHARISTA </t>
    </r>
    <r>
      <rPr>
        <sz val="10"/>
        <rFont val="WenQuanYi Zen Hei"/>
        <family val="2"/>
      </rPr>
      <t xml:space="preserve">八王子駅前駐輪場（アパルトマン</t>
    </r>
    <r>
      <rPr>
        <sz val="10"/>
        <rFont val="Arial"/>
        <family val="0"/>
        <charset val="1"/>
      </rPr>
      <t xml:space="preserve">HD</t>
    </r>
    <r>
      <rPr>
        <sz val="10"/>
        <rFont val="WenQuanYi Zen Hei"/>
        <family val="2"/>
      </rPr>
      <t xml:space="preserve">株式会社）（社長立替・銀行明細に出ない支払）</t>
    </r>
  </si>
  <si>
    <r>
      <rPr>
        <sz val="10"/>
        <rFont val="WenQuanYi Zen Hei"/>
        <family val="2"/>
      </rPr>
      <t xml:space="preserve">領収書</t>
    </r>
    <r>
      <rPr>
        <sz val="10"/>
        <rFont val="Arial"/>
        <family val="0"/>
        <charset val="1"/>
      </rPr>
      <t xml:space="preserve">_2026-08_</t>
    </r>
    <r>
      <rPr>
        <sz val="10"/>
        <rFont val="WenQuanYi Zen Hei"/>
        <family val="2"/>
      </rPr>
      <t xml:space="preserve">紙領収書</t>
    </r>
    <r>
      <rPr>
        <sz val="10"/>
        <rFont val="Arial"/>
        <family val="0"/>
        <charset val="1"/>
      </rPr>
      <t xml:space="preserve">_batch_2026-09-02.pdf p31</t>
    </r>
  </si>
  <si>
    <t xml:space="preserve">デニーズ 富士森公園店</t>
  </si>
  <si>
    <t xml:space="preserve">QUICPay</t>
  </si>
  <si>
    <t xml:space="preserve">1059</t>
  </si>
  <si>
    <t xml:space="preserve">デニーズ 富士森公園店（社長立替・銀行明細に出ない支払）</t>
  </si>
  <si>
    <r>
      <rPr>
        <sz val="10"/>
        <rFont val="WenQuanYi Zen Hei"/>
        <family val="2"/>
      </rPr>
      <t xml:space="preserve">領収書</t>
    </r>
    <r>
      <rPr>
        <sz val="10"/>
        <rFont val="Arial"/>
        <family val="0"/>
        <charset val="1"/>
      </rPr>
      <t xml:space="preserve">_2026-08_</t>
    </r>
    <r>
      <rPr>
        <sz val="10"/>
        <rFont val="WenQuanYi Zen Hei"/>
        <family val="2"/>
      </rPr>
      <t xml:space="preserve">紙領収書</t>
    </r>
    <r>
      <rPr>
        <sz val="10"/>
        <rFont val="Arial"/>
        <family val="0"/>
        <charset val="1"/>
      </rPr>
      <t xml:space="preserve">_batch_2026-09-02.pdf p25</t>
    </r>
  </si>
  <si>
    <r>
      <rPr>
        <sz val="10"/>
        <rFont val="WenQuanYi Zen Hei"/>
        <family val="2"/>
      </rPr>
      <t xml:space="preserve">サイクルタイムズ京王八王子（タイムズ</t>
    </r>
    <r>
      <rPr>
        <sz val="10"/>
        <rFont val="Arial"/>
        <family val="0"/>
        <charset val="1"/>
      </rPr>
      <t xml:space="preserve">24</t>
    </r>
    <r>
      <rPr>
        <sz val="10"/>
        <rFont val="WenQuanYi Zen Hei"/>
        <family val="2"/>
      </rPr>
      <t xml:space="preserve">株式会社）</t>
    </r>
  </si>
  <si>
    <t xml:space="preserve">1062</t>
  </si>
  <si>
    <r>
      <rPr>
        <sz val="10"/>
        <rFont val="WenQuanYi Zen Hei"/>
        <family val="2"/>
      </rPr>
      <t xml:space="preserve">サイクルタイムズ京王八王子（タイムズ</t>
    </r>
    <r>
      <rPr>
        <sz val="10"/>
        <rFont val="Arial"/>
        <family val="0"/>
        <charset val="1"/>
      </rPr>
      <t xml:space="preserve">24</t>
    </r>
    <r>
      <rPr>
        <sz val="10"/>
        <rFont val="WenQuanYi Zen Hei"/>
        <family val="2"/>
      </rPr>
      <t xml:space="preserve">株式会社）（社長立替・銀行明細に出ない支払）</t>
    </r>
  </si>
  <si>
    <r>
      <rPr>
        <sz val="10"/>
        <rFont val="WenQuanYi Zen Hei"/>
        <family val="2"/>
      </rPr>
      <t xml:space="preserve">領収書</t>
    </r>
    <r>
      <rPr>
        <sz val="10"/>
        <rFont val="Arial"/>
        <family val="0"/>
        <charset val="1"/>
      </rPr>
      <t xml:space="preserve">_2026-08_</t>
    </r>
    <r>
      <rPr>
        <sz val="10"/>
        <rFont val="WenQuanYi Zen Hei"/>
        <family val="2"/>
      </rPr>
      <t xml:space="preserve">紙領収書</t>
    </r>
    <r>
      <rPr>
        <sz val="10"/>
        <rFont val="Arial"/>
        <family val="0"/>
        <charset val="1"/>
      </rPr>
      <t xml:space="preserve">_batch_2026-09-02.pdf p30</t>
    </r>
  </si>
  <si>
    <t xml:space="preserve">1066</t>
  </si>
  <si>
    <r>
      <rPr>
        <sz val="10"/>
        <rFont val="WenQuanYi Zen Hei"/>
        <family val="2"/>
      </rPr>
      <t xml:space="preserve">領収書</t>
    </r>
    <r>
      <rPr>
        <sz val="10"/>
        <rFont val="Arial"/>
        <family val="0"/>
        <charset val="1"/>
      </rPr>
      <t xml:space="preserve">_2026-08_</t>
    </r>
    <r>
      <rPr>
        <sz val="10"/>
        <rFont val="WenQuanYi Zen Hei"/>
        <family val="2"/>
      </rPr>
      <t xml:space="preserve">紙領収書</t>
    </r>
    <r>
      <rPr>
        <sz val="10"/>
        <rFont val="Arial"/>
        <family val="0"/>
        <charset val="1"/>
      </rPr>
      <t xml:space="preserve">_batch_2026-09-02.pdf p33</t>
    </r>
  </si>
  <si>
    <t xml:space="preserve">1065</t>
  </si>
  <si>
    <r>
      <rPr>
        <sz val="10"/>
        <rFont val="WenQuanYi Zen Hei"/>
        <family val="2"/>
      </rPr>
      <t xml:space="preserve">領収書</t>
    </r>
    <r>
      <rPr>
        <sz val="10"/>
        <rFont val="Arial"/>
        <family val="0"/>
        <charset val="1"/>
      </rPr>
      <t xml:space="preserve">_2026-08_</t>
    </r>
    <r>
      <rPr>
        <sz val="10"/>
        <rFont val="WenQuanYi Zen Hei"/>
        <family val="2"/>
      </rPr>
      <t xml:space="preserve">紙領収書</t>
    </r>
    <r>
      <rPr>
        <sz val="10"/>
        <rFont val="Arial"/>
        <family val="0"/>
        <charset val="1"/>
      </rPr>
      <t xml:space="preserve">_batch_2026-09-02.pdf p26</t>
    </r>
  </si>
  <si>
    <t xml:space="preserve">1771</t>
  </si>
  <si>
    <r>
      <rPr>
        <sz val="10"/>
        <rFont val="Arial"/>
        <family val="0"/>
        <charset val="1"/>
      </rPr>
      <t xml:space="preserve">2026.10</t>
    </r>
    <r>
      <rPr>
        <sz val="10"/>
        <rFont val="WenQuanYi Zen Hei"/>
        <family val="2"/>
      </rPr>
      <t xml:space="preserve">月支払 </t>
    </r>
    <r>
      <rPr>
        <sz val="10"/>
        <rFont val="Arial"/>
        <family val="0"/>
        <charset val="1"/>
      </rPr>
      <t xml:space="preserve">p-one.pdf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P-one</t>
    </r>
    <r>
      <rPr>
        <sz val="10"/>
        <rFont val="WenQuanYi Zen Hei"/>
        <family val="2"/>
      </rPr>
      <t xml:space="preserve">明細・領収書なし）</t>
    </r>
  </si>
  <si>
    <t xml:space="preserve">ローソン八王子南新町店</t>
  </si>
  <si>
    <t xml:space="preserve">1068</t>
  </si>
  <si>
    <t xml:space="preserve">ローソン八王子南新町店（社長立替・銀行明細に出ない支払）</t>
  </si>
  <si>
    <r>
      <rPr>
        <sz val="10"/>
        <rFont val="WenQuanYi Zen Hei"/>
        <family val="2"/>
      </rPr>
      <t xml:space="preserve">領収書</t>
    </r>
    <r>
      <rPr>
        <sz val="10"/>
        <rFont val="Arial"/>
        <family val="0"/>
        <charset val="1"/>
      </rPr>
      <t xml:space="preserve">_2026-08_</t>
    </r>
    <r>
      <rPr>
        <sz val="10"/>
        <rFont val="WenQuanYi Zen Hei"/>
        <family val="2"/>
      </rPr>
      <t xml:space="preserve">紙領収書</t>
    </r>
    <r>
      <rPr>
        <sz val="10"/>
        <rFont val="Arial"/>
        <family val="0"/>
        <charset val="1"/>
      </rPr>
      <t xml:space="preserve">_batch_2026-09-02.pdf p17</t>
    </r>
  </si>
  <si>
    <t xml:space="preserve">まるに家</t>
  </si>
  <si>
    <t xml:space="preserve">1069</t>
  </si>
  <si>
    <t xml:space="preserve">まるに家（社長立替・銀行明細に出ない支払）</t>
  </si>
  <si>
    <r>
      <rPr>
        <sz val="10"/>
        <rFont val="WenQuanYi Zen Hei"/>
        <family val="2"/>
      </rPr>
      <t xml:space="preserve">領収書</t>
    </r>
    <r>
      <rPr>
        <sz val="10"/>
        <rFont val="Arial"/>
        <family val="0"/>
        <charset val="1"/>
      </rPr>
      <t xml:space="preserve">_2026-08_</t>
    </r>
    <r>
      <rPr>
        <sz val="10"/>
        <rFont val="WenQuanYi Zen Hei"/>
        <family val="2"/>
      </rPr>
      <t xml:space="preserve">紙領収書</t>
    </r>
    <r>
      <rPr>
        <sz val="10"/>
        <rFont val="Arial"/>
        <family val="0"/>
        <charset val="1"/>
      </rPr>
      <t xml:space="preserve">_batch_2026-09-02.pdf p19</t>
    </r>
  </si>
  <si>
    <t xml:space="preserve">長浜家</t>
  </si>
  <si>
    <t xml:space="preserve">1070</t>
  </si>
  <si>
    <t xml:space="preserve">長浜家（社長立替・銀行明細に出ない支払）</t>
  </si>
  <si>
    <r>
      <rPr>
        <sz val="10"/>
        <rFont val="WenQuanYi Zen Hei"/>
        <family val="2"/>
      </rPr>
      <t xml:space="preserve">領収書</t>
    </r>
    <r>
      <rPr>
        <sz val="10"/>
        <rFont val="Arial"/>
        <family val="0"/>
        <charset val="1"/>
      </rPr>
      <t xml:space="preserve">_2026-08_</t>
    </r>
    <r>
      <rPr>
        <sz val="10"/>
        <rFont val="WenQuanYi Zen Hei"/>
        <family val="2"/>
      </rPr>
      <t xml:space="preserve">紙領収書</t>
    </r>
    <r>
      <rPr>
        <sz val="10"/>
        <rFont val="Arial"/>
        <family val="0"/>
        <charset val="1"/>
      </rPr>
      <t xml:space="preserve">_batch_2026-09-02.pdf p12</t>
    </r>
  </si>
  <si>
    <t xml:space="preserve">1071</t>
  </si>
  <si>
    <r>
      <rPr>
        <sz val="10"/>
        <rFont val="WenQuanYi Zen Hei"/>
        <family val="2"/>
      </rPr>
      <t xml:space="preserve">領収書</t>
    </r>
    <r>
      <rPr>
        <sz val="10"/>
        <rFont val="Arial"/>
        <family val="0"/>
        <charset val="1"/>
      </rPr>
      <t xml:space="preserve">_2026-08_</t>
    </r>
    <r>
      <rPr>
        <sz val="10"/>
        <rFont val="WenQuanYi Zen Hei"/>
        <family val="2"/>
      </rPr>
      <t xml:space="preserve">紙領収書</t>
    </r>
    <r>
      <rPr>
        <sz val="10"/>
        <rFont val="Arial"/>
        <family val="0"/>
        <charset val="1"/>
      </rPr>
      <t xml:space="preserve">_batch_2026-09-02.pdf p23</t>
    </r>
  </si>
  <si>
    <r>
      <rPr>
        <sz val="10"/>
        <rFont val="WenQuanYi Zen Hei"/>
        <family val="2"/>
      </rPr>
      <t xml:space="preserve">スマート</t>
    </r>
    <r>
      <rPr>
        <sz val="10"/>
        <rFont val="Arial"/>
        <family val="0"/>
        <charset val="1"/>
      </rPr>
      <t xml:space="preserve">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JR</t>
    </r>
    <r>
      <rPr>
        <sz val="10"/>
        <rFont val="WenQuanYi Zen Hei"/>
        <family val="2"/>
      </rPr>
      <t xml:space="preserve">東海）東海道新幹線 熱海→新横浜</t>
    </r>
  </si>
  <si>
    <t xml:space="preserve">1072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</si>
  <si>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名分</t>
    </r>
    <r>
      <rPr>
        <sz val="10"/>
        <rFont val="Arial"/>
        <family val="0"/>
        <charset val="1"/>
      </rPr>
      <t xml:space="preserve">6,200</t>
    </r>
    <r>
      <rPr>
        <sz val="10"/>
        <rFont val="WenQuanYi Zen Hei"/>
        <family val="2"/>
      </rPr>
      <t xml:space="preserve">円のうち経費は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名分</t>
    </r>
    <r>
      <rPr>
        <sz val="10"/>
        <rFont val="Arial"/>
        <family val="0"/>
        <charset val="1"/>
      </rPr>
      <t xml:space="preserve">3,100</t>
    </r>
    <r>
      <rPr>
        <sz val="10"/>
        <rFont val="WenQuanYi Zen Hei"/>
        <family val="2"/>
      </rPr>
      <t xml:space="preserve">円のみ（既存</t>
    </r>
    <r>
      <rPr>
        <sz val="10"/>
        <rFont val="Arial"/>
        <family val="0"/>
        <charset val="1"/>
      </rPr>
      <t xml:space="preserve">No.1072</t>
    </r>
    <r>
      <rPr>
        <sz val="10"/>
        <rFont val="WenQuanYi Zen Hei"/>
        <family val="2"/>
      </rPr>
      <t xml:space="preserve">）。差額</t>
    </r>
    <r>
      <rPr>
        <sz val="10"/>
        <rFont val="Arial"/>
        <family val="0"/>
        <charset val="1"/>
      </rPr>
      <t xml:space="preserve">3,100</t>
    </r>
    <r>
      <rPr>
        <sz val="10"/>
        <rFont val="WenQuanYi Zen Hei"/>
        <family val="2"/>
      </rPr>
      <t xml:space="preserve">円は経費にしない</t>
    </r>
  </si>
  <si>
    <r>
      <rPr>
        <sz val="10"/>
        <rFont val="WenQuanYi Zen Hei"/>
        <family val="2"/>
      </rPr>
      <t xml:space="preserve">スマート</t>
    </r>
    <r>
      <rPr>
        <sz val="10"/>
        <rFont val="Arial"/>
        <family val="0"/>
        <charset val="1"/>
      </rPr>
      <t xml:space="preserve">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JR</t>
    </r>
    <r>
      <rPr>
        <sz val="10"/>
        <rFont val="WenQuanYi Zen Hei"/>
        <family val="2"/>
      </rPr>
      <t xml:space="preserve">東海）東海道新幹線 熱海→新横浜（社長立替・銀行明細に出ない支払）</t>
    </r>
  </si>
  <si>
    <r>
      <rPr>
        <sz val="10"/>
        <rFont val="WenQuanYi Zen Hei"/>
        <family val="2"/>
      </rPr>
      <t xml:space="preserve">領収書</t>
    </r>
    <r>
      <rPr>
        <sz val="10"/>
        <rFont val="Arial"/>
        <family val="0"/>
        <charset val="1"/>
      </rPr>
      <t xml:space="preserve">_2026-08_</t>
    </r>
    <r>
      <rPr>
        <sz val="10"/>
        <rFont val="WenQuanYi Zen Hei"/>
        <family val="2"/>
      </rPr>
      <t xml:space="preserve">紙領収書</t>
    </r>
    <r>
      <rPr>
        <sz val="10"/>
        <rFont val="Arial"/>
        <family val="0"/>
        <charset val="1"/>
      </rPr>
      <t xml:space="preserve">_batch_2026-09-02.pdf p35 </t>
    </r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2026.10</t>
    </r>
    <r>
      <rPr>
        <sz val="10"/>
        <rFont val="WenQuanYi Zen Hei"/>
        <family val="2"/>
      </rPr>
      <t xml:space="preserve">月支払 </t>
    </r>
    <r>
      <rPr>
        <sz val="10"/>
        <rFont val="Arial"/>
        <family val="0"/>
        <charset val="1"/>
      </rPr>
      <t xml:space="preserve">p-one.pdf</t>
    </r>
    <r>
      <rPr>
        <sz val="10"/>
        <rFont val="WenQuanYi Zen Hei"/>
        <family val="2"/>
      </rPr>
      <t xml:space="preserve">（カード利用明細）</t>
    </r>
  </si>
  <si>
    <r>
      <rPr>
        <sz val="10"/>
        <rFont val="WenQuanYi Zen Hei"/>
        <family val="2"/>
      </rPr>
      <t xml:space="preserve">領収書（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名分</t>
    </r>
    <r>
      <rPr>
        <sz val="10"/>
        <rFont val="Arial"/>
        <family val="0"/>
        <charset val="1"/>
      </rPr>
      <t xml:space="preserve">3,100</t>
    </r>
    <r>
      <rPr>
        <sz val="10"/>
        <rFont val="WenQuanYi Zen Hei"/>
        <family val="2"/>
      </rPr>
      <t xml:space="preserve">円）＋カード利用明細（</t>
    </r>
    <r>
      <rPr>
        <sz val="10"/>
        <rFont val="Arial"/>
        <family val="0"/>
        <charset val="1"/>
      </rPr>
      <t xml:space="preserve">6,200</t>
    </r>
    <r>
      <rPr>
        <sz val="10"/>
        <rFont val="WenQuanYi Zen Hei"/>
        <family val="2"/>
      </rPr>
      <t xml:space="preserve">円） ／ スマート</t>
    </r>
    <r>
      <rPr>
        <sz val="10"/>
        <rFont val="Arial"/>
        <family val="0"/>
        <charset val="1"/>
      </rPr>
      <t xml:space="preserve">EX 2</t>
    </r>
    <r>
      <rPr>
        <sz val="10"/>
        <rFont val="WenQuanYi Zen Hei"/>
        <family val="2"/>
      </rPr>
      <t xml:space="preserve">名分（</t>
    </r>
    <r>
      <rPr>
        <sz val="10"/>
        <rFont val="Arial"/>
        <family val="0"/>
        <charset val="1"/>
      </rPr>
      <t xml:space="preserve">8/25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</si>
  <si>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セブン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イレブン八王子八日町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丁目店</t>
    </r>
  </si>
  <si>
    <t xml:space="preserve">1073</t>
  </si>
  <si>
    <r>
      <rPr>
        <sz val="10"/>
        <rFont val="WenQuanYi Zen Hei"/>
        <family val="2"/>
      </rPr>
      <t xml:space="preserve">セブン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イレブン八王子八日町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丁目店（社長立替・銀行明細に出ない支払）</t>
    </r>
  </si>
  <si>
    <r>
      <rPr>
        <sz val="10"/>
        <rFont val="WenQuanYi Zen Hei"/>
        <family val="2"/>
      </rPr>
      <t xml:space="preserve">領収書</t>
    </r>
    <r>
      <rPr>
        <sz val="10"/>
        <rFont val="Arial"/>
        <family val="0"/>
        <charset val="1"/>
      </rPr>
      <t xml:space="preserve">_2026-08_</t>
    </r>
    <r>
      <rPr>
        <sz val="10"/>
        <rFont val="WenQuanYi Zen Hei"/>
        <family val="2"/>
      </rPr>
      <t xml:space="preserve">紙領収書</t>
    </r>
    <r>
      <rPr>
        <sz val="10"/>
        <rFont val="Arial"/>
        <family val="0"/>
        <charset val="1"/>
      </rPr>
      <t xml:space="preserve">_batch_2026-09-02.pdf p02</t>
    </r>
  </si>
  <si>
    <t xml:space="preserve">八王子交通事業（株）</t>
  </si>
  <si>
    <t xml:space="preserve">1074</t>
  </si>
  <si>
    <t xml:space="preserve">八王子交通事業（株）（社長立替・銀行明細に出ない支払）</t>
  </si>
  <si>
    <r>
      <rPr>
        <sz val="10"/>
        <rFont val="WenQuanYi Zen Hei"/>
        <family val="2"/>
      </rPr>
      <t xml:space="preserve">領収書</t>
    </r>
    <r>
      <rPr>
        <sz val="10"/>
        <rFont val="Arial"/>
        <family val="0"/>
        <charset val="1"/>
      </rPr>
      <t xml:space="preserve">_2026-08_</t>
    </r>
    <r>
      <rPr>
        <sz val="10"/>
        <rFont val="WenQuanYi Zen Hei"/>
        <family val="2"/>
      </rPr>
      <t xml:space="preserve">紙領収書</t>
    </r>
    <r>
      <rPr>
        <sz val="10"/>
        <rFont val="Arial"/>
        <family val="0"/>
        <charset val="1"/>
      </rPr>
      <t xml:space="preserve">_batch_2026-09-02.pdf p13</t>
    </r>
  </si>
  <si>
    <t xml:space="preserve">1774</t>
  </si>
  <si>
    <t xml:space="preserve">1775</t>
  </si>
  <si>
    <t xml:space="preserve">トライアーバンゴルフ八王子</t>
  </si>
  <si>
    <t xml:space="preserve">1776</t>
  </si>
  <si>
    <t xml:space="preserve">トライアーバンゴルフ八王子／撮影のため（社長立替・銀行明細に出ない支払）</t>
  </si>
  <si>
    <r>
      <rPr>
        <sz val="10"/>
        <rFont val="Arial"/>
        <family val="0"/>
        <charset val="1"/>
      </rPr>
      <t xml:space="preserve">2026.9 </t>
    </r>
    <r>
      <rPr>
        <sz val="10"/>
        <rFont val="WenQuanYi Zen Hei"/>
        <family val="2"/>
      </rPr>
      <t xml:space="preserve">法人領収書　スキャン</t>
    </r>
    <r>
      <rPr>
        <sz val="10"/>
        <rFont val="Arial"/>
        <family val="0"/>
        <charset val="1"/>
      </rPr>
      <t xml:space="preserve">_20261005-1358.pdf p16</t>
    </r>
  </si>
  <si>
    <t xml:space="preserve">領収書・レシート ／ 撮影のため</t>
  </si>
  <si>
    <t xml:space="preserve">1777</t>
  </si>
  <si>
    <r>
      <rPr>
        <sz val="10"/>
        <rFont val="Arial"/>
        <family val="0"/>
        <charset val="1"/>
      </rPr>
      <t xml:space="preserve">2026.9 </t>
    </r>
    <r>
      <rPr>
        <sz val="10"/>
        <rFont val="WenQuanYi Zen Hei"/>
        <family val="2"/>
      </rPr>
      <t xml:space="preserve">法人領収書　スキャン</t>
    </r>
    <r>
      <rPr>
        <sz val="10"/>
        <rFont val="Arial"/>
        <family val="0"/>
        <charset val="1"/>
      </rPr>
      <t xml:space="preserve">_20261005-1358.pdf p17</t>
    </r>
  </si>
  <si>
    <t xml:space="preserve">1778</t>
  </si>
  <si>
    <r>
      <rPr>
        <sz val="10"/>
        <rFont val="Arial"/>
        <family val="0"/>
        <charset val="1"/>
      </rPr>
      <t xml:space="preserve">2026.9 </t>
    </r>
    <r>
      <rPr>
        <sz val="10"/>
        <rFont val="WenQuanYi Zen Hei"/>
        <family val="2"/>
      </rPr>
      <t xml:space="preserve">法人領収書　スキャン</t>
    </r>
    <r>
      <rPr>
        <sz val="10"/>
        <rFont val="Arial"/>
        <family val="0"/>
        <charset val="1"/>
      </rPr>
      <t xml:space="preserve">_20261005-1358.pdf p21</t>
    </r>
  </si>
  <si>
    <r>
      <rPr>
        <sz val="10"/>
        <rFont val="WenQuanYi Zen Hei"/>
        <family val="2"/>
      </rPr>
      <t xml:space="preserve">領収書・レシート ／ 金額の印字が一部かすれ（</t>
    </r>
    <r>
      <rPr>
        <sz val="10"/>
        <rFont val="Arial"/>
        <family val="0"/>
        <charset val="1"/>
      </rPr>
      <t xml:space="preserve">200</t>
    </r>
    <r>
      <rPr>
        <sz val="10"/>
        <rFont val="WenQuanYi Zen Hei"/>
        <family val="2"/>
      </rPr>
      <t xml:space="preserve">円と読める）</t>
    </r>
  </si>
  <si>
    <t xml:space="preserve">ロイヤルホスト セレオ八王子北館</t>
  </si>
  <si>
    <r>
      <rPr>
        <sz val="10"/>
        <rFont val="Arial"/>
        <family val="0"/>
        <charset val="1"/>
      </rPr>
      <t xml:space="preserve">P-one</t>
    </r>
    <r>
      <rPr>
        <sz val="10"/>
        <rFont val="WenQuanYi Zen Hei"/>
        <family val="2"/>
      </rPr>
      <t xml:space="preserve">カード（社長個人カード）／店舗レシート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クレジット（セレオ）</t>
    </r>
  </si>
  <si>
    <t xml:space="preserve">1779</t>
  </si>
  <si>
    <t xml:space="preserve">ロイヤルホスト セレオ八王子北館／撮影のため（社長立替・銀行明細に出ない支払）</t>
  </si>
  <si>
    <r>
      <rPr>
        <sz val="10"/>
        <rFont val="Arial"/>
        <family val="0"/>
        <charset val="1"/>
      </rPr>
      <t xml:space="preserve">2026.9 </t>
    </r>
    <r>
      <rPr>
        <sz val="10"/>
        <rFont val="WenQuanYi Zen Hei"/>
        <family val="2"/>
      </rPr>
      <t xml:space="preserve">法人領収書　スキャン</t>
    </r>
    <r>
      <rPr>
        <sz val="10"/>
        <rFont val="Arial"/>
        <family val="0"/>
        <charset val="1"/>
      </rPr>
      <t xml:space="preserve">_20261005-1358.pdf p18 + 2026.9 </t>
    </r>
    <r>
      <rPr>
        <sz val="10"/>
        <rFont val="WenQuanYi Zen Hei"/>
        <family val="2"/>
      </rPr>
      <t xml:space="preserve">法人領収書　スキャン</t>
    </r>
    <r>
      <rPr>
        <sz val="10"/>
        <rFont val="Arial"/>
        <family val="0"/>
        <charset val="1"/>
      </rPr>
      <t xml:space="preserve">_20261005-1358.pdf p19</t>
    </r>
  </si>
  <si>
    <t xml:space="preserve">ファミリーマート 八王子寺町店</t>
  </si>
  <si>
    <t xml:space="preserve">1780</t>
  </si>
  <si>
    <t xml:space="preserve">ファミリーマート 八王子寺町店（社長立替・銀行明細に出ない支払）</t>
  </si>
  <si>
    <r>
      <rPr>
        <sz val="10"/>
        <rFont val="Arial"/>
        <family val="0"/>
        <charset val="1"/>
      </rPr>
      <t xml:space="preserve">2026.9 </t>
    </r>
    <r>
      <rPr>
        <sz val="10"/>
        <rFont val="WenQuanYi Zen Hei"/>
        <family val="2"/>
      </rPr>
      <t xml:space="preserve">法人領収書　スキャン</t>
    </r>
    <r>
      <rPr>
        <sz val="10"/>
        <rFont val="Arial"/>
        <family val="0"/>
        <charset val="1"/>
      </rPr>
      <t xml:space="preserve">_20261005-1358.pdf p20</t>
    </r>
  </si>
  <si>
    <t xml:space="preserve">1783</t>
  </si>
  <si>
    <r>
      <rPr>
        <sz val="10"/>
        <rFont val="Arial"/>
        <family val="0"/>
        <charset val="1"/>
      </rPr>
      <t xml:space="preserve">2026.9 </t>
    </r>
    <r>
      <rPr>
        <sz val="10"/>
        <rFont val="WenQuanYi Zen Hei"/>
        <family val="2"/>
      </rPr>
      <t xml:space="preserve">法人領収書　スキャン</t>
    </r>
    <r>
      <rPr>
        <sz val="10"/>
        <rFont val="Arial"/>
        <family val="0"/>
        <charset val="1"/>
      </rPr>
      <t xml:space="preserve">_20261005-1358.pdf p06</t>
    </r>
  </si>
  <si>
    <t xml:space="preserve">合計（表示行）</t>
  </si>
  <si>
    <t xml:space="preserve">社長立替経費とデビット（普通預金）の二重計上</t>
  </si>
  <si>
    <r>
      <rPr>
        <sz val="9"/>
        <color rgb="FF595959"/>
        <rFont val="WenQuanYi Zen Hei"/>
        <family val="2"/>
      </rPr>
      <t xml:space="preserve">同じ日・同じ金額で両方に入っていたもの。預金残高を正とし、社長立替経費側の仕訳を削除します。削除状況は</t>
    </r>
    <r>
      <rPr>
        <sz val="9"/>
        <color rgb="FF595959"/>
        <rFont val="Arial"/>
        <family val="0"/>
        <charset val="1"/>
      </rPr>
      <t xml:space="preserve">2026/10/14</t>
    </r>
    <r>
      <rPr>
        <sz val="9"/>
        <color rgb="FF595959"/>
        <rFont val="WenQuanYi Zen Hei"/>
        <family val="2"/>
      </rPr>
      <t xml:space="preserve">時点。</t>
    </r>
  </si>
  <si>
    <r>
      <rPr>
        <b val="true"/>
        <sz val="11"/>
        <color rgb="FFFFFFFF"/>
        <rFont val="WenQuanYi Zen Hei"/>
        <family val="2"/>
      </rPr>
      <t xml:space="preserve">削除する仕訳</t>
    </r>
    <r>
      <rPr>
        <b val="true"/>
        <sz val="11"/>
        <color rgb="FFFFFFFF"/>
        <rFont val="Arial"/>
        <family val="0"/>
        <charset val="1"/>
      </rPr>
      <t xml:space="preserve">No.
</t>
    </r>
    <r>
      <rPr>
        <b val="true"/>
        <sz val="11"/>
        <color rgb="FFFFFFFF"/>
        <rFont val="WenQuanYi Zen Hei"/>
        <family val="2"/>
      </rPr>
      <t xml:space="preserve">（社長立替）</t>
    </r>
  </si>
  <si>
    <t xml:space="preserve">金額
（税込・円）</t>
  </si>
  <si>
    <t xml:space="preserve">勘定科目</t>
  </si>
  <si>
    <t xml:space="preserve">摘要（社長立替）</t>
  </si>
  <si>
    <r>
      <rPr>
        <b val="true"/>
        <sz val="11"/>
        <color rgb="FFFFFFFF"/>
        <rFont val="WenQuanYi Zen Hei"/>
        <family val="2"/>
      </rPr>
      <t xml:space="preserve">残す仕訳</t>
    </r>
    <r>
      <rPr>
        <b val="true"/>
        <sz val="11"/>
        <color rgb="FFFFFFFF"/>
        <rFont val="Arial"/>
        <family val="0"/>
        <charset val="1"/>
      </rPr>
      <t xml:space="preserve">No.
</t>
    </r>
    <r>
      <rPr>
        <b val="true"/>
        <sz val="11"/>
        <color rgb="FFFFFFFF"/>
        <rFont val="WenQuanYi Zen Hei"/>
        <family val="2"/>
      </rPr>
      <t xml:space="preserve">（デビット）</t>
    </r>
  </si>
  <si>
    <t xml:space="preserve">摘要（デビット）</t>
  </si>
  <si>
    <t xml:space="preserve">削除状況</t>
  </si>
  <si>
    <r>
      <rPr>
        <sz val="10"/>
        <rFont val="WenQuanYi Zen Hei"/>
        <family val="2"/>
      </rPr>
      <t xml:space="preserve">魚屋さかな酒場 中野北口店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居酒屋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</si>
  <si>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ﾃﾞﾋﾞｯﾄ ｻｶﾅｻｶﾊﾞｳｵｾｲ ﾅｶﾉｷﾀｸﾞﾁ </t>
    </r>
    <r>
      <rPr>
        <sz val="10"/>
        <rFont val="Arial"/>
        <family val="0"/>
        <charset val="1"/>
      </rPr>
      <t xml:space="preserve">875668</t>
    </r>
  </si>
  <si>
    <t xml:space="preserve">削除済み</t>
  </si>
  <si>
    <t xml:space="preserve">くまさわ亭 サザンスカイタワー八王子</t>
  </si>
  <si>
    <r>
      <rPr>
        <sz val="10"/>
        <rFont val="WenQuanYi Zen Hei"/>
        <family val="2"/>
      </rPr>
      <t xml:space="preserve">ﾃﾞﾋﾞｯﾄ ｸﾏｻﾞﾜｼﾖﾃﾝ ﾊﾁｵｳｼﾞﾐﾅﾐｸﾞﾁﾃ </t>
    </r>
    <r>
      <rPr>
        <sz val="10"/>
        <rFont val="Arial"/>
        <family val="0"/>
        <charset val="1"/>
      </rPr>
      <t xml:space="preserve">923102</t>
    </r>
  </si>
  <si>
    <r>
      <rPr>
        <sz val="10"/>
        <rFont val="Arial"/>
        <family val="0"/>
        <charset val="1"/>
      </rPr>
      <t xml:space="preserve">CELEO</t>
    </r>
    <r>
      <rPr>
        <sz val="10"/>
        <rFont val="WenQuanYi Zen Hei"/>
        <family val="2"/>
      </rPr>
      <t xml:space="preserve">八王子内ピッツェリア・ナポリ</t>
    </r>
  </si>
  <si>
    <r>
      <rPr>
        <sz val="10"/>
        <rFont val="WenQuanYi Zen Hei"/>
        <family val="2"/>
      </rPr>
      <t xml:space="preserve">ﾃﾞﾋﾞｯﾄ ｾﾚｵﾊﾁｵｳｼﾞ ｷﾀｶﾝ </t>
    </r>
    <r>
      <rPr>
        <sz val="10"/>
        <rFont val="Arial"/>
        <family val="0"/>
        <charset val="1"/>
      </rPr>
      <t xml:space="preserve">577951</t>
    </r>
  </si>
  <si>
    <r>
      <rPr>
        <sz val="10"/>
        <rFont val="Arial"/>
        <family val="0"/>
        <charset val="1"/>
      </rPr>
      <t xml:space="preserve">CELEO</t>
    </r>
    <r>
      <rPr>
        <sz val="10"/>
        <rFont val="WenQuanYi Zen Hei"/>
        <family val="2"/>
      </rPr>
      <t xml:space="preserve">八王子内 麺屋ヨシュ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ラーメン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</si>
  <si>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ﾃﾞﾋﾞｯﾄ ｾﾚｵﾊﾁｵｳｼﾞ ﾐﾅﾐｶﾝ </t>
    </r>
    <r>
      <rPr>
        <sz val="10"/>
        <rFont val="Arial"/>
        <family val="0"/>
        <charset val="1"/>
      </rPr>
      <t xml:space="preserve">495458</t>
    </r>
  </si>
  <si>
    <r>
      <rPr>
        <sz val="10"/>
        <rFont val="Arial"/>
        <family val="0"/>
        <charset val="1"/>
      </rPr>
      <t xml:space="preserve">Bistrot Gourmand </t>
    </r>
    <r>
      <rPr>
        <sz val="10"/>
        <rFont val="WenQuanYi Zen Hei"/>
        <family val="2"/>
      </rPr>
      <t xml:space="preserve">渋谷</t>
    </r>
  </si>
  <si>
    <r>
      <rPr>
        <sz val="10"/>
        <rFont val="WenQuanYi Zen Hei"/>
        <family val="2"/>
      </rPr>
      <t xml:space="preserve">ﾃﾞﾋﾞｯﾄ ﾋﾞｽﾄﾛ ｸﾞﾙﾏﾝ </t>
    </r>
    <r>
      <rPr>
        <sz val="10"/>
        <rFont val="Arial"/>
        <family val="0"/>
        <charset val="1"/>
      </rPr>
      <t xml:space="preserve">574367</t>
    </r>
  </si>
  <si>
    <t xml:space="preserve">カラオケ館 渋谷</t>
  </si>
  <si>
    <r>
      <rPr>
        <sz val="10"/>
        <rFont val="WenQuanYi Zen Hei"/>
        <family val="2"/>
      </rPr>
      <t xml:space="preserve">ﾃﾞﾋﾞｯﾄ ｶﾗｵｹｶﾝ ｼﾌﾞﾔﾃﾝ </t>
    </r>
    <r>
      <rPr>
        <sz val="10"/>
        <rFont val="Arial"/>
        <family val="0"/>
        <charset val="1"/>
      </rPr>
      <t xml:space="preserve">595050</t>
    </r>
  </si>
  <si>
    <t xml:space="preserve">すし銚子丸 八王子</t>
  </si>
  <si>
    <r>
      <rPr>
        <sz val="10"/>
        <rFont val="WenQuanYi Zen Hei"/>
        <family val="2"/>
      </rPr>
      <t xml:space="preserve">ﾃﾞﾋﾞｯﾄ ｽｼﾁﾖｳｼﾏﾙﾊﾁｵｳｼﾞﾃﾝ </t>
    </r>
    <r>
      <rPr>
        <sz val="10"/>
        <rFont val="Arial"/>
        <family val="0"/>
        <charset val="1"/>
      </rPr>
      <t xml:space="preserve">216358</t>
    </r>
  </si>
  <si>
    <t xml:space="preserve">セブンイレブン 上野町</t>
  </si>
  <si>
    <r>
      <rPr>
        <sz val="10"/>
        <rFont val="WenQuanYi Zen Hei"/>
        <family val="2"/>
      </rPr>
      <t xml:space="preserve">ﾃﾞﾋﾞｯﾄ ｾﾌﾞﾝ ｲﾚﾌﾞﾝ </t>
    </r>
    <r>
      <rPr>
        <sz val="10"/>
        <rFont val="Arial"/>
        <family val="0"/>
        <charset val="1"/>
      </rPr>
      <t xml:space="preserve">054329</t>
    </r>
  </si>
  <si>
    <r>
      <rPr>
        <sz val="10"/>
        <rFont val="Arial"/>
        <family val="0"/>
        <charset val="1"/>
      </rPr>
      <t xml:space="preserve">NewDays </t>
    </r>
    <r>
      <rPr>
        <sz val="10"/>
        <rFont val="WenQuanYi Zen Hei"/>
        <family val="2"/>
      </rPr>
      <t xml:space="preserve">八王子</t>
    </r>
  </si>
  <si>
    <r>
      <rPr>
        <sz val="10"/>
        <rFont val="WenQuanYi Zen Hei"/>
        <family val="2"/>
      </rPr>
      <t xml:space="preserve">ﾃﾞﾋﾞｯﾄ ﾆｭｰﾃﾞｲｽﾞ･ｷｵｽｸ ﾊﾁｵｳｼﾞｼﾃﾝ </t>
    </r>
    <r>
      <rPr>
        <sz val="10"/>
        <rFont val="Arial"/>
        <family val="0"/>
        <charset val="1"/>
      </rPr>
      <t xml:space="preserve">439756</t>
    </r>
  </si>
  <si>
    <r>
      <rPr>
        <sz val="10"/>
        <rFont val="Arial"/>
        <family val="0"/>
        <charset val="1"/>
      </rPr>
      <t xml:space="preserve">NewDays </t>
    </r>
    <r>
      <rPr>
        <sz val="10"/>
        <rFont val="WenQuanYi Zen Hei"/>
        <family val="2"/>
      </rPr>
      <t xml:space="preserve">塩尻</t>
    </r>
  </si>
  <si>
    <r>
      <rPr>
        <sz val="10"/>
        <rFont val="WenQuanYi Zen Hei"/>
        <family val="2"/>
      </rPr>
      <t xml:space="preserve">ﾃﾞﾋﾞｯﾄ ﾆｭｰﾃﾞｲｽﾞ･ｷｵｽｸ ﾅｶﾞﾉｼﾃﾝｶﾝ </t>
    </r>
    <r>
      <rPr>
        <sz val="10"/>
        <rFont val="Arial"/>
        <family val="0"/>
        <charset val="1"/>
      </rPr>
      <t xml:space="preserve">823467</t>
    </r>
  </si>
  <si>
    <r>
      <rPr>
        <sz val="10"/>
        <rFont val="WenQuanYi Zen Hei"/>
        <family val="2"/>
      </rPr>
      <t xml:space="preserve">来来亭 塩尻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名</t>
    </r>
  </si>
  <si>
    <r>
      <rPr>
        <sz val="10"/>
        <rFont val="WenQuanYi Zen Hei"/>
        <family val="2"/>
      </rPr>
      <t xml:space="preserve">ﾃﾞﾋﾞｯﾄ ﾗｲﾗｲﾃｲ ｼｵｼﾞﾘﾃﾝ </t>
    </r>
    <r>
      <rPr>
        <sz val="10"/>
        <rFont val="Arial"/>
        <family val="0"/>
        <charset val="1"/>
      </rPr>
      <t xml:space="preserve">723017</t>
    </r>
  </si>
  <si>
    <r>
      <rPr>
        <sz val="10"/>
        <rFont val="WenQuanYi Zen Hei"/>
        <family val="2"/>
      </rPr>
      <t xml:space="preserve">ﾃﾞﾋﾞｯﾄ ﾆｭｰﾃﾞｲｽﾞ･ｷｵｽｸ ﾅｶﾞﾉｼﾃﾝｶﾝ </t>
    </r>
    <r>
      <rPr>
        <sz val="10"/>
        <rFont val="Arial"/>
        <family val="0"/>
        <charset val="1"/>
      </rPr>
      <t xml:space="preserve">822951</t>
    </r>
  </si>
  <si>
    <t xml:space="preserve">八南交通 タクシー</t>
  </si>
  <si>
    <r>
      <rPr>
        <sz val="10"/>
        <rFont val="WenQuanYi Zen Hei"/>
        <family val="2"/>
      </rPr>
      <t xml:space="preserve">ﾃﾞﾋﾞｯﾄ ﾊﾁﾅﾝｺｳﾂｳ ﾎﾝｼﾔ </t>
    </r>
    <r>
      <rPr>
        <sz val="10"/>
        <rFont val="Arial"/>
        <family val="0"/>
        <charset val="1"/>
      </rPr>
      <t xml:space="preserve">858737</t>
    </r>
  </si>
  <si>
    <r>
      <rPr>
        <sz val="10"/>
        <rFont val="WenQuanYi Zen Hei"/>
        <family val="2"/>
      </rPr>
      <t xml:space="preserve">サイゼリヤ めじろ台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名</t>
    </r>
  </si>
  <si>
    <r>
      <rPr>
        <sz val="10"/>
        <rFont val="WenQuanYi Zen Hei"/>
        <family val="2"/>
      </rPr>
      <t xml:space="preserve">ﾃﾞﾋﾞｯﾄ ｻｲｾﾞﾘﾔ</t>
    </r>
    <r>
      <rPr>
        <sz val="10"/>
        <rFont val="Arial"/>
        <family val="0"/>
        <charset val="1"/>
      </rPr>
      <t xml:space="preserve">/NFC 565888</t>
    </r>
  </si>
  <si>
    <t xml:space="preserve">セブンイレブン 八王子南口</t>
  </si>
  <si>
    <r>
      <rPr>
        <sz val="10"/>
        <rFont val="WenQuanYi Zen Hei"/>
        <family val="2"/>
      </rPr>
      <t xml:space="preserve">ﾃﾞﾋﾞｯﾄ ｾﾌﾞﾝ ｲﾚﾌﾞﾝ </t>
    </r>
    <r>
      <rPr>
        <sz val="10"/>
        <rFont val="Arial"/>
        <family val="0"/>
        <charset val="1"/>
      </rPr>
      <t xml:space="preserve">191431</t>
    </r>
  </si>
  <si>
    <t xml:space="preserve">ビアードパパ 西武立川</t>
  </si>
  <si>
    <r>
      <rPr>
        <sz val="10"/>
        <rFont val="WenQuanYi Zen Hei"/>
        <family val="2"/>
      </rPr>
      <t xml:space="preserve">ﾃﾞﾋﾞｯﾄ ｴｷﾃﾝﾎﾟ</t>
    </r>
    <r>
      <rPr>
        <sz val="10"/>
        <rFont val="Arial"/>
        <family val="0"/>
        <charset val="1"/>
      </rPr>
      <t xml:space="preserve">1 663117</t>
    </r>
  </si>
  <si>
    <r>
      <rPr>
        <sz val="10"/>
        <rFont val="Arial"/>
        <family val="0"/>
        <charset val="1"/>
      </rPr>
      <t xml:space="preserve">SUBWAY </t>
    </r>
    <r>
      <rPr>
        <sz val="10"/>
        <rFont val="WenQuanYi Zen Hei"/>
        <family val="2"/>
      </rPr>
      <t xml:space="preserve">八王子</t>
    </r>
  </si>
  <si>
    <r>
      <rPr>
        <sz val="10"/>
        <rFont val="WenQuanYi Zen Hei"/>
        <family val="2"/>
      </rPr>
      <t xml:space="preserve">ﾃﾞﾋﾞｯﾄ ｻﾌﾞｳｴｲ ｻｻﾞﾝｽｶｲﾀﾜ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ﾊﾁｵ </t>
    </r>
    <r>
      <rPr>
        <sz val="10"/>
        <rFont val="Arial"/>
        <family val="0"/>
        <charset val="1"/>
      </rPr>
      <t xml:space="preserve">362615</t>
    </r>
  </si>
  <si>
    <r>
      <rPr>
        <sz val="10"/>
        <rFont val="Arial"/>
        <family val="0"/>
        <charset val="1"/>
      </rPr>
      <t xml:space="preserve">SHAKE SHACK </t>
    </r>
    <r>
      <rPr>
        <sz val="10"/>
        <rFont val="WenQuanYi Zen Hei"/>
        <family val="2"/>
      </rPr>
      <t xml:space="preserve">外苑</t>
    </r>
  </si>
  <si>
    <r>
      <rPr>
        <sz val="10"/>
        <rFont val="WenQuanYi Zen Hei"/>
        <family val="2"/>
      </rPr>
      <t xml:space="preserve">ﾃﾞﾋﾞｯﾄ ｼｴｲｸｼﾔﾂｸｶﾞｲｴﾝｲﾁﾖｳﾅﾐｷﾃﾝ </t>
    </r>
    <r>
      <rPr>
        <sz val="10"/>
        <rFont val="Arial"/>
        <family val="0"/>
        <charset val="1"/>
      </rPr>
      <t xml:space="preserve">914508</t>
    </r>
  </si>
  <si>
    <r>
      <rPr>
        <sz val="10"/>
        <rFont val="Arial"/>
        <family val="0"/>
        <charset val="1"/>
      </rPr>
      <t xml:space="preserve">Brown Brown Green </t>
    </r>
    <r>
      <rPr>
        <sz val="10"/>
        <rFont val="WenQuanYi Zen Hei"/>
        <family val="2"/>
      </rPr>
      <t xml:space="preserve">南青山</t>
    </r>
  </si>
  <si>
    <r>
      <rPr>
        <sz val="10"/>
        <rFont val="WenQuanYi Zen Hei"/>
        <family val="2"/>
      </rPr>
      <t xml:space="preserve">ﾃﾞﾋﾞｯﾄ ﾌﾞﾗｳﾝﾌﾞﾗｳﾝｸﾞﾘ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ﾝ </t>
    </r>
    <r>
      <rPr>
        <sz val="10"/>
        <rFont val="Arial"/>
        <family val="0"/>
        <charset val="1"/>
      </rPr>
      <t xml:space="preserve">869058</t>
    </r>
  </si>
  <si>
    <r>
      <rPr>
        <sz val="10"/>
        <rFont val="WenQuanYi Zen Hei"/>
        <family val="2"/>
      </rPr>
      <t xml:space="preserve">ﾃﾞﾋﾞｯﾄ ｾﾌﾞﾝ ｲﾚﾌﾞﾝ </t>
    </r>
    <r>
      <rPr>
        <sz val="10"/>
        <rFont val="Arial"/>
        <family val="0"/>
        <charset val="1"/>
      </rPr>
      <t xml:space="preserve">782373</t>
    </r>
  </si>
  <si>
    <t xml:space="preserve">バーガーキング 八王子</t>
  </si>
  <si>
    <r>
      <rPr>
        <sz val="10"/>
        <rFont val="WenQuanYi Zen Hei"/>
        <family val="2"/>
      </rPr>
      <t xml:space="preserve">ﾃﾞﾋﾞｯﾄ ﾊﾞ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ｶﾞ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ｷﾝｸﾞ</t>
    </r>
    <r>
      <rPr>
        <sz val="10"/>
        <rFont val="Arial"/>
        <family val="0"/>
        <charset val="1"/>
      </rPr>
      <t xml:space="preserve">/NFC 873027</t>
    </r>
  </si>
  <si>
    <t xml:space="preserve">福利厚生費</t>
  </si>
  <si>
    <r>
      <rPr>
        <sz val="10"/>
        <rFont val="Arial"/>
        <family val="0"/>
        <charset val="1"/>
      </rPr>
      <t xml:space="preserve">THE GREENs </t>
    </r>
    <r>
      <rPr>
        <sz val="10"/>
        <rFont val="WenQuanYi Zen Hei"/>
        <family val="2"/>
      </rPr>
      <t xml:space="preserve">八王子東町</t>
    </r>
  </si>
  <si>
    <r>
      <rPr>
        <sz val="10"/>
        <rFont val="WenQuanYi Zen Hei"/>
        <family val="2"/>
      </rPr>
      <t xml:space="preserve">ﾃﾞﾋﾞｯﾄ ｻﾞ ｸﾞﾘ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ﾝｽﾞ</t>
    </r>
    <r>
      <rPr>
        <sz val="10"/>
        <rFont val="Arial"/>
        <family val="0"/>
        <charset val="1"/>
      </rPr>
      <t xml:space="preserve">/NFC 094721</t>
    </r>
  </si>
  <si>
    <t xml:space="preserve">印鑑合同会社クレア</t>
  </si>
  <si>
    <r>
      <rPr>
        <sz val="10"/>
        <rFont val="WenQuanYi Zen Hei"/>
        <family val="2"/>
      </rPr>
      <t xml:space="preserve">ﾃﾞﾋﾞｯﾄ ﾊﾝｺﾓﾘ </t>
    </r>
    <r>
      <rPr>
        <sz val="10"/>
        <rFont val="Arial"/>
        <family val="0"/>
        <charset val="1"/>
      </rPr>
      <t xml:space="preserve">586970</t>
    </r>
  </si>
  <si>
    <t xml:space="preserve">すし銅子丸 八王子</t>
  </si>
  <si>
    <r>
      <rPr>
        <sz val="10"/>
        <rFont val="WenQuanYi Zen Hei"/>
        <family val="2"/>
      </rPr>
      <t xml:space="preserve">ﾃﾞﾋﾞｯﾄ ｽｼﾁﾖｳｼﾏﾙﾊﾁｵｳｼﾞﾃﾝ </t>
    </r>
    <r>
      <rPr>
        <sz val="10"/>
        <rFont val="Arial"/>
        <family val="0"/>
        <charset val="1"/>
      </rPr>
      <t xml:space="preserve">667602</t>
    </r>
  </si>
  <si>
    <r>
      <rPr>
        <sz val="10"/>
        <rFont val="WenQuanYi Zen Hei"/>
        <family val="2"/>
      </rPr>
      <t xml:space="preserve">ミスタードーナツ </t>
    </r>
    <r>
      <rPr>
        <sz val="10"/>
        <rFont val="Arial"/>
        <family val="0"/>
        <charset val="1"/>
      </rPr>
      <t xml:space="preserve">CELEO</t>
    </r>
  </si>
  <si>
    <r>
      <rPr>
        <sz val="10"/>
        <rFont val="WenQuanYi Zen Hei"/>
        <family val="2"/>
      </rPr>
      <t xml:space="preserve">ﾃﾞﾋﾞｯﾄ ｾﾚｵﾊﾁｵｳｼﾞ ﾐﾅﾐｶﾝ </t>
    </r>
    <r>
      <rPr>
        <sz val="10"/>
        <rFont val="Arial"/>
        <family val="0"/>
        <charset val="1"/>
      </rPr>
      <t xml:space="preserve">212356</t>
    </r>
  </si>
  <si>
    <t xml:space="preserve">未削除</t>
  </si>
  <si>
    <t xml:space="preserve">くまざわ書店 八王子</t>
  </si>
  <si>
    <r>
      <rPr>
        <sz val="10"/>
        <rFont val="WenQuanYi Zen Hei"/>
        <family val="2"/>
      </rPr>
      <t xml:space="preserve">ﾃﾞﾋﾞｯﾄ ｸﾏｻﾞﾜｼﾖﾃﾝ ﾊﾁｵｳｼﾞﾐﾅﾐｸﾞﾁﾃ </t>
    </r>
    <r>
      <rPr>
        <sz val="10"/>
        <rFont val="Arial"/>
        <family val="0"/>
        <charset val="1"/>
      </rPr>
      <t xml:space="preserve">211204</t>
    </r>
  </si>
  <si>
    <t xml:space="preserve">マンダリンオリエンタル</t>
  </si>
  <si>
    <r>
      <rPr>
        <sz val="10"/>
        <rFont val="WenQuanYi Zen Hei"/>
        <family val="2"/>
      </rPr>
      <t xml:space="preserve">ﾃﾞﾋﾞｯﾄ ﾏﾝﾀﾞﾘﾝｵﾘｴﾝﾀﾙﾄｳｷﾖｳ </t>
    </r>
    <r>
      <rPr>
        <sz val="10"/>
        <rFont val="Arial"/>
        <family val="0"/>
        <charset val="1"/>
      </rPr>
      <t xml:space="preserve">315472</t>
    </r>
  </si>
  <si>
    <t xml:space="preserve">竜泉寺の湯 みなみ野</t>
  </si>
  <si>
    <r>
      <rPr>
        <sz val="10"/>
        <rFont val="WenQuanYi Zen Hei"/>
        <family val="2"/>
      </rPr>
      <t xml:space="preserve">ﾃﾞﾋﾞｯﾄ ﾘｭｳｾﾝｼﾞﾉﾕﾊﾁｵｳｼﾞﾐﾅﾐﾉﾃﾝ </t>
    </r>
    <r>
      <rPr>
        <sz val="10"/>
        <rFont val="Arial"/>
        <family val="0"/>
        <charset val="1"/>
      </rPr>
      <t xml:space="preserve">021856</t>
    </r>
  </si>
  <si>
    <r>
      <rPr>
        <sz val="10"/>
        <rFont val="Arial"/>
        <family val="0"/>
        <charset val="1"/>
      </rPr>
      <t xml:space="preserve">TABLES CAFE </t>
    </r>
    <r>
      <rPr>
        <sz val="10"/>
        <rFont val="WenQuanYi Zen Hei"/>
        <family val="2"/>
      </rPr>
      <t xml:space="preserve">クロスホテル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名</t>
    </r>
  </si>
  <si>
    <r>
      <rPr>
        <sz val="10"/>
        <rFont val="WenQuanYi Zen Hei"/>
        <family val="2"/>
      </rPr>
      <t xml:space="preserve">ﾃﾞﾋﾞｯﾄ ﾀﾌﾞﾚｽ ｶﾌｴ </t>
    </r>
    <r>
      <rPr>
        <sz val="10"/>
        <rFont val="Arial"/>
        <family val="0"/>
        <charset val="1"/>
      </rPr>
      <t xml:space="preserve">319437</t>
    </r>
  </si>
  <si>
    <r>
      <rPr>
        <sz val="10"/>
        <rFont val="Arial"/>
        <family val="0"/>
        <charset val="1"/>
      </rPr>
      <t xml:space="preserve">551 HORAI </t>
    </r>
    <r>
      <rPr>
        <sz val="10"/>
        <rFont val="WenQuanYi Zen Hei"/>
        <family val="2"/>
      </rPr>
      <t xml:space="preserve">新大阪</t>
    </r>
  </si>
  <si>
    <r>
      <rPr>
        <sz val="10"/>
        <rFont val="WenQuanYi Zen Hei"/>
        <family val="2"/>
      </rPr>
      <t xml:space="preserve">ﾃﾞﾋﾞｯﾄ ｺﾞ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ｺﾞ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ｲﾁﾎｳﾗｲｼﾞｴｲｱ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ﾙｼ </t>
    </r>
    <r>
      <rPr>
        <sz val="10"/>
        <rFont val="Arial"/>
        <family val="0"/>
        <charset val="1"/>
      </rPr>
      <t xml:space="preserve">505383</t>
    </r>
  </si>
  <si>
    <r>
      <rPr>
        <sz val="10"/>
        <rFont val="Arial"/>
        <family val="0"/>
        <charset val="1"/>
      </rPr>
      <t xml:space="preserve">PLUSTA Gift </t>
    </r>
    <r>
      <rPr>
        <sz val="10"/>
        <rFont val="WenQuanYi Zen Hei"/>
        <family val="2"/>
      </rPr>
      <t xml:space="preserve">新大阪</t>
    </r>
  </si>
  <si>
    <r>
      <rPr>
        <sz val="10"/>
        <rFont val="WenQuanYi Zen Hei"/>
        <family val="2"/>
      </rPr>
      <t xml:space="preserve">ﾃﾞﾋﾞｯﾄ ﾌﾟﾗｽﾀｷﾞﾌﾄｼﾝｵｵｻｶｶﾝｾﾝﾐﾅﾐｶ </t>
    </r>
    <r>
      <rPr>
        <sz val="10"/>
        <rFont val="Arial"/>
        <family val="0"/>
        <charset val="1"/>
      </rPr>
      <t xml:space="preserve">529642</t>
    </r>
  </si>
  <si>
    <t xml:space="preserve">くるみ製菓 大阪</t>
  </si>
  <si>
    <r>
      <rPr>
        <sz val="10"/>
        <rFont val="WenQuanYi Zen Hei"/>
        <family val="2"/>
      </rPr>
      <t xml:space="preserve">ﾃﾞﾋﾞｯﾄ ｸﾙﾐｾｲｶﾃﾝ </t>
    </r>
    <r>
      <rPr>
        <sz val="10"/>
        <rFont val="Arial"/>
        <family val="0"/>
        <charset val="1"/>
      </rPr>
      <t xml:space="preserve">490421</t>
    </r>
  </si>
  <si>
    <t xml:space="preserve">大成交通 タクシー</t>
  </si>
  <si>
    <r>
      <rPr>
        <sz val="10"/>
        <rFont val="WenQuanYi Zen Hei"/>
        <family val="2"/>
      </rPr>
      <t xml:space="preserve">ﾃﾞﾋﾞｯﾄ ﾀｲｾｲｺｳﾂｳ ﾎﾝｼﾔ </t>
    </r>
    <r>
      <rPr>
        <sz val="10"/>
        <rFont val="Arial"/>
        <family val="0"/>
        <charset val="1"/>
      </rPr>
      <t xml:space="preserve">590121</t>
    </r>
  </si>
  <si>
    <r>
      <rPr>
        <sz val="10"/>
        <rFont val="Arial"/>
        <family val="0"/>
        <charset val="1"/>
      </rPr>
      <t xml:space="preserve">MOS BURGER </t>
    </r>
    <r>
      <rPr>
        <sz val="10"/>
        <rFont val="WenQuanYi Zen Hei"/>
        <family val="2"/>
      </rPr>
      <t xml:space="preserve">八王子北口</t>
    </r>
  </si>
  <si>
    <r>
      <rPr>
        <sz val="10"/>
        <rFont val="WenQuanYi Zen Hei"/>
        <family val="2"/>
      </rPr>
      <t xml:space="preserve">ﾃﾞﾋﾞｯﾄ ﾓｽﾊﾞ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ｶﾞ</t>
    </r>
    <r>
      <rPr>
        <sz val="10"/>
        <rFont val="Arial"/>
        <family val="0"/>
        <charset val="1"/>
      </rPr>
      <t xml:space="preserve">-/NFC 006065</t>
    </r>
  </si>
  <si>
    <r>
      <rPr>
        <sz val="10"/>
        <rFont val="Arial"/>
        <family val="0"/>
        <charset val="1"/>
      </rPr>
      <t xml:space="preserve">PIZZERIA SECONDO </t>
    </r>
    <r>
      <rPr>
        <sz val="10"/>
        <rFont val="WenQuanYi Zen Hei"/>
        <family val="2"/>
      </rPr>
      <t xml:space="preserve">横山町</t>
    </r>
  </si>
  <si>
    <r>
      <rPr>
        <sz val="10"/>
        <rFont val="WenQuanYi Zen Hei"/>
        <family val="2"/>
      </rPr>
      <t xml:space="preserve">ﾃﾞﾋﾞｯﾄ ﾋﾟﾂﾂｴﾘｱ ｾｺﾝﾄﾞ </t>
    </r>
    <r>
      <rPr>
        <sz val="10"/>
        <rFont val="Arial"/>
        <family val="0"/>
        <charset val="1"/>
      </rPr>
      <t xml:space="preserve">295383</t>
    </r>
  </si>
  <si>
    <r>
      <rPr>
        <sz val="10"/>
        <rFont val="WenQuanYi Zen Hei"/>
        <family val="2"/>
      </rPr>
      <t xml:space="preserve">ﾃﾞﾋﾞｯﾄ ｻｲｾﾞﾘﾔ</t>
    </r>
    <r>
      <rPr>
        <sz val="10"/>
        <rFont val="Arial"/>
        <family val="0"/>
        <charset val="1"/>
      </rPr>
      <t xml:space="preserve">/NFC 175282</t>
    </r>
  </si>
  <si>
    <r>
      <rPr>
        <sz val="10"/>
        <rFont val="WenQuanYi Zen Hei"/>
        <family val="2"/>
      </rPr>
      <t xml:space="preserve">象屋立川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名</t>
    </r>
  </si>
  <si>
    <r>
      <rPr>
        <sz val="10"/>
        <rFont val="WenQuanYi Zen Hei"/>
        <family val="2"/>
      </rPr>
      <t xml:space="preserve">ﾃﾞﾋﾞｯﾄ ｶｲｿﾞｸﾀﾁｶﾜﾎﾝﾃﾝ </t>
    </r>
    <r>
      <rPr>
        <sz val="10"/>
        <rFont val="Arial"/>
        <family val="0"/>
        <charset val="1"/>
      </rPr>
      <t xml:space="preserve">117477</t>
    </r>
  </si>
  <si>
    <r>
      <rPr>
        <sz val="10"/>
        <rFont val="WenQuanYi Zen Hei"/>
        <family val="2"/>
      </rPr>
      <t xml:space="preserve">ミスタードーナツ </t>
    </r>
    <r>
      <rPr>
        <sz val="10"/>
        <rFont val="Arial"/>
        <family val="0"/>
        <charset val="1"/>
      </rPr>
      <t xml:space="preserve">JR</t>
    </r>
    <r>
      <rPr>
        <sz val="10"/>
        <rFont val="WenQuanYi Zen Hei"/>
        <family val="2"/>
      </rPr>
      <t xml:space="preserve">南口</t>
    </r>
  </si>
  <si>
    <r>
      <rPr>
        <sz val="10"/>
        <rFont val="WenQuanYi Zen Hei"/>
        <family val="2"/>
      </rPr>
      <t xml:space="preserve">ﾃﾞﾋﾞｯﾄ ｾﾚｵﾊﾁｵｳｼﾞ ﾐﾅﾐｶﾝ </t>
    </r>
    <r>
      <rPr>
        <sz val="10"/>
        <rFont val="Arial"/>
        <family val="0"/>
        <charset val="1"/>
      </rPr>
      <t xml:space="preserve">212694</t>
    </r>
  </si>
  <si>
    <r>
      <rPr>
        <sz val="10"/>
        <rFont val="Arial"/>
        <family val="0"/>
        <charset val="1"/>
      </rPr>
      <t xml:space="preserve">BASEL </t>
    </r>
    <r>
      <rPr>
        <sz val="10"/>
        <rFont val="WenQuanYi Zen Hei"/>
        <family val="2"/>
      </rPr>
      <t xml:space="preserve">八王子台町</t>
    </r>
  </si>
  <si>
    <r>
      <rPr>
        <sz val="10"/>
        <rFont val="WenQuanYi Zen Hei"/>
        <family val="2"/>
      </rPr>
      <t xml:space="preserve">ﾃﾞﾋﾞｯﾄ ﾊﾟ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ｸｻｲﾄﾞｶﾌｴﾊﾞ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ｾﾞﾙ </t>
    </r>
    <r>
      <rPr>
        <sz val="10"/>
        <rFont val="Arial"/>
        <family val="0"/>
        <charset val="1"/>
      </rPr>
      <t xml:space="preserve">382834</t>
    </r>
  </si>
  <si>
    <t xml:space="preserve">支払手数料</t>
  </si>
  <si>
    <r>
      <rPr>
        <sz val="10"/>
        <rFont val="Arial"/>
        <family val="0"/>
        <charset val="1"/>
      </rPr>
      <t xml:space="preserve">GMO</t>
    </r>
    <r>
      <rPr>
        <sz val="10"/>
        <rFont val="WenQuanYi Zen Hei"/>
        <family val="2"/>
      </rPr>
      <t xml:space="preserve">オフィスサポート</t>
    </r>
  </si>
  <si>
    <r>
      <rPr>
        <sz val="10"/>
        <rFont val="WenQuanYi Zen Hei"/>
        <family val="2"/>
      </rPr>
      <t xml:space="preserve">ﾃﾞﾋﾞｯﾄ ｼﾞ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ｴﾑｵ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ｵﾌｲｽｻﾎﾟ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ﾄ </t>
    </r>
    <r>
      <rPr>
        <sz val="10"/>
        <rFont val="Arial"/>
        <family val="0"/>
        <charset val="1"/>
      </rPr>
      <t xml:space="preserve">663342</t>
    </r>
  </si>
  <si>
    <r>
      <rPr>
        <sz val="10"/>
        <rFont val="Arial"/>
        <family val="0"/>
        <charset val="1"/>
      </rPr>
      <t xml:space="preserve">SEIYU </t>
    </r>
    <r>
      <rPr>
        <sz val="10"/>
        <rFont val="WenQuanYi Zen Hei"/>
        <family val="2"/>
      </rPr>
      <t xml:space="preserve">塩尻</t>
    </r>
  </si>
  <si>
    <r>
      <rPr>
        <sz val="10"/>
        <rFont val="WenQuanYi Zen Hei"/>
        <family val="2"/>
      </rPr>
      <t xml:space="preserve">ﾃﾞﾋﾞｯﾄ ｾｲﾕｳ </t>
    </r>
    <r>
      <rPr>
        <sz val="10"/>
        <rFont val="Arial"/>
        <family val="0"/>
        <charset val="1"/>
      </rPr>
      <t xml:space="preserve">867685</t>
    </r>
  </si>
  <si>
    <r>
      <rPr>
        <sz val="10"/>
        <rFont val="WenQuanYi Zen Hei"/>
        <family val="2"/>
      </rPr>
      <t xml:space="preserve">ﾃﾞﾋﾞｯﾄ ﾊﾁﾅﾝｺｳﾂｳ ﾎﾝｼﾔ </t>
    </r>
    <r>
      <rPr>
        <sz val="10"/>
        <rFont val="Arial"/>
        <family val="0"/>
        <charset val="1"/>
      </rPr>
      <t xml:space="preserve">095321</t>
    </r>
  </si>
  <si>
    <t xml:space="preserve">豆腐屋うかい 八王子</t>
  </si>
  <si>
    <r>
      <rPr>
        <sz val="10"/>
        <rFont val="WenQuanYi Zen Hei"/>
        <family val="2"/>
      </rPr>
      <t xml:space="preserve">ﾃﾞﾋﾞｯﾄ ﾄｳﾌﾔｳｶｲ ｵｵﾜﾀﾞ </t>
    </r>
    <r>
      <rPr>
        <sz val="10"/>
        <rFont val="Arial"/>
        <family val="0"/>
        <charset val="1"/>
      </rPr>
      <t xml:space="preserve">686993</t>
    </r>
  </si>
  <si>
    <t xml:space="preserve">八王子交通 タクシー</t>
  </si>
  <si>
    <r>
      <rPr>
        <sz val="10"/>
        <rFont val="WenQuanYi Zen Hei"/>
        <family val="2"/>
      </rPr>
      <t xml:space="preserve">ﾃﾞﾋﾞｯﾄ ﾊﾁｵｳｼﾞｺｳﾂｳｼﾞｷﾞﾖｳ </t>
    </r>
    <r>
      <rPr>
        <sz val="10"/>
        <rFont val="Arial"/>
        <family val="0"/>
        <charset val="1"/>
      </rPr>
      <t xml:space="preserve">180585</t>
    </r>
  </si>
  <si>
    <r>
      <rPr>
        <sz val="10"/>
        <rFont val="WenQuanYi Zen Hei"/>
        <family val="2"/>
      </rPr>
      <t xml:space="preserve">すし銚子丸八王子店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寿司</t>
    </r>
    <r>
      <rPr>
        <sz val="10"/>
        <rFont val="Arial"/>
        <family val="0"/>
        <charset val="1"/>
      </rPr>
      <t xml:space="preserve">(2</t>
    </r>
    <r>
      <rPr>
        <sz val="10"/>
        <rFont val="WenQuanYi Zen Hei"/>
        <family val="2"/>
      </rPr>
      <t xml:space="preserve">名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</si>
  <si>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ﾃﾞﾋﾞｯﾄ ｽｼﾁﾖｳｼﾏﾙﾊﾁｵｳｼﾞﾃﾝ </t>
    </r>
    <r>
      <rPr>
        <sz val="10"/>
        <rFont val="Arial"/>
        <family val="0"/>
        <charset val="1"/>
      </rPr>
      <t xml:space="preserve">104423</t>
    </r>
  </si>
  <si>
    <r>
      <rPr>
        <sz val="10"/>
        <rFont val="Arial"/>
        <family val="0"/>
        <charset val="1"/>
      </rPr>
      <t xml:space="preserve">JOINT BURGER GINZA / </t>
    </r>
    <r>
      <rPr>
        <sz val="10"/>
        <rFont val="WenQuanYi Zen Hei"/>
        <family val="2"/>
      </rPr>
      <t xml:space="preserve">バーガー・フライ</t>
    </r>
  </si>
  <si>
    <r>
      <rPr>
        <sz val="10"/>
        <rFont val="WenQuanYi Zen Hei"/>
        <family val="2"/>
      </rPr>
      <t xml:space="preserve">ﾃﾞﾋﾞｯﾄ ｼﾞﾖｲﾝﾄﾊﾞ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ｶﾞ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ｷﾞﾝｻﾞ </t>
    </r>
    <r>
      <rPr>
        <sz val="10"/>
        <rFont val="Arial"/>
        <family val="0"/>
        <charset val="1"/>
      </rPr>
      <t xml:space="preserve">844730</t>
    </r>
  </si>
  <si>
    <r>
      <rPr>
        <sz val="10"/>
        <rFont val="WenQuanYi Zen Hei"/>
        <family val="2"/>
      </rPr>
      <t xml:space="preserve">セブン</t>
    </r>
    <r>
      <rPr>
        <sz val="10"/>
        <rFont val="Arial"/>
        <family val="0"/>
        <charset val="1"/>
      </rPr>
      <t xml:space="preserve">-</t>
    </r>
    <r>
      <rPr>
        <sz val="10"/>
        <rFont val="WenQuanYi Zen Hei"/>
        <family val="2"/>
      </rPr>
      <t xml:space="preserve">イレブン八王子万町店 </t>
    </r>
    <r>
      <rPr>
        <sz val="10"/>
        <rFont val="Arial"/>
        <family val="0"/>
        <charset val="1"/>
      </rPr>
      <t xml:space="preserve">/ </t>
    </r>
    <r>
      <rPr>
        <sz val="10"/>
        <rFont val="WenQuanYi Zen Hei"/>
        <family val="2"/>
      </rPr>
      <t xml:space="preserve">アイス・レジ袋</t>
    </r>
  </si>
  <si>
    <r>
      <rPr>
        <sz val="10"/>
        <rFont val="WenQuanYi Zen Hei"/>
        <family val="2"/>
      </rPr>
      <t xml:space="preserve">ﾃﾞﾋﾞｯﾄ ｾﾌﾞﾝ ｲﾚﾌﾞﾝ </t>
    </r>
    <r>
      <rPr>
        <sz val="10"/>
        <rFont val="Arial"/>
        <family val="0"/>
        <charset val="1"/>
      </rPr>
      <t xml:space="preserve">981093</t>
    </r>
  </si>
  <si>
    <r>
      <rPr>
        <sz val="10"/>
        <rFont val="Arial"/>
        <family val="0"/>
        <charset val="1"/>
      </rPr>
      <t xml:space="preserve">GMO</t>
    </r>
    <r>
      <rPr>
        <sz val="10"/>
        <rFont val="WenQuanYi Zen Hei"/>
        <family val="2"/>
      </rPr>
      <t xml:space="preserve">オフィスサポート </t>
    </r>
    <r>
      <rPr>
        <sz val="10"/>
        <rFont val="Arial"/>
        <family val="0"/>
        <charset val="1"/>
      </rPr>
      <t xml:space="preserve">2026/08/31</t>
    </r>
  </si>
  <si>
    <t xml:space="preserve">デビット勘定</t>
  </si>
  <si>
    <r>
      <rPr>
        <sz val="10"/>
        <rFont val="WenQuanYi Zen Hei"/>
        <family val="2"/>
      </rPr>
      <t xml:space="preserve">デビット </t>
    </r>
    <r>
      <rPr>
        <sz val="10"/>
        <rFont val="Arial"/>
        <family val="0"/>
        <charset val="1"/>
      </rPr>
      <t xml:space="preserve">969967</t>
    </r>
  </si>
  <si>
    <r>
      <rPr>
        <sz val="9"/>
        <rFont val="Arial"/>
        <family val="0"/>
        <charset val="1"/>
      </rPr>
      <t xml:space="preserve">※ No.1075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8/31 GMO</t>
    </r>
    <r>
      <rPr>
        <sz val="9"/>
        <rFont val="WenQuanYi Zen Hei"/>
        <family val="2"/>
      </rPr>
      <t xml:space="preserve">オフィスサポート </t>
    </r>
    <r>
      <rPr>
        <sz val="9"/>
        <rFont val="Arial"/>
        <family val="0"/>
        <charset val="1"/>
      </rPr>
      <t xml:space="preserve">660</t>
    </r>
    <r>
      <rPr>
        <sz val="9"/>
        <rFont val="WenQuanYi Zen Hei"/>
        <family val="2"/>
      </rPr>
      <t xml:space="preserve">円）：</t>
    </r>
    <r>
      <rPr>
        <sz val="9"/>
        <rFont val="Arial"/>
        <family val="0"/>
        <charset val="1"/>
      </rPr>
      <t xml:space="preserve">SBI</t>
    </r>
    <r>
      <rPr>
        <sz val="9"/>
        <rFont val="WenQuanYi Zen Hei"/>
        <family val="2"/>
      </rPr>
      <t xml:space="preserve">デビット利用明細で預金側</t>
    </r>
    <r>
      <rPr>
        <sz val="9"/>
        <rFont val="Arial"/>
        <family val="0"/>
        <charset val="1"/>
      </rPr>
      <t xml:space="preserve">No.1386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9/1 GMO</t>
    </r>
    <r>
      <rPr>
        <sz val="9"/>
        <rFont val="WenQuanYi Zen Hei"/>
        <family val="2"/>
      </rPr>
      <t xml:space="preserve">オフィスサポート </t>
    </r>
    <r>
      <rPr>
        <sz val="9"/>
        <rFont val="Arial"/>
        <family val="0"/>
        <charset val="1"/>
      </rPr>
      <t xml:space="preserve">660</t>
    </r>
    <r>
      <rPr>
        <sz val="9"/>
        <rFont val="WenQuanYi Zen Hei"/>
        <family val="2"/>
      </rPr>
      <t xml:space="preserve">円）と確認できたため重複。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</si>
</sst>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\件"/>
    <numFmt numFmtId="166" formatCode="#,##0"/>
    <numFmt numFmtId="167" formatCode="yyyy/mm/dd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color rgb="FF1F3864"/>
      <name val="WenQuanYi Zen Hei"/>
      <family val="2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sz val="9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8CBAD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58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6.4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5" t="s">
        <v>5</v>
      </c>
      <c r="D5" s="5" t="s">
        <v>6</v>
      </c>
      <c r="E5" s="4" t="s">
        <v>7</v>
      </c>
    </row>
    <row r="6" customFormat="false" ht="30" hidden="false" customHeight="true" outlineLevel="0" collapsed="false">
      <c r="A6" s="6" t="s">
        <v>8</v>
      </c>
      <c r="B6" s="7" t="n">
        <f aca="false">COUNTIF(照合一覧!$H$5:$H$137,A6)</f>
        <v>79</v>
      </c>
      <c r="C6" s="8" t="n">
        <f aca="false">SUMIF(照合一覧!$H$5:$H$137,A6,照合一覧!$D$5:$D$137)</f>
        <v>459035</v>
      </c>
      <c r="D6" s="8" t="n">
        <f aca="false">SUMIF(照合一覧!$H$5:$H$137,A6,照合一覧!$E$5:$E$137)</f>
        <v>459035</v>
      </c>
      <c r="E6" s="9" t="s">
        <v>9</v>
      </c>
    </row>
    <row r="7" customFormat="false" ht="30" hidden="false" customHeight="true" outlineLevel="0" collapsed="false">
      <c r="A7" s="10" t="s">
        <v>10</v>
      </c>
      <c r="B7" s="11" t="n">
        <f aca="false">COUNTIF(照合一覧!$H$5:$H$137,A7)</f>
        <v>54</v>
      </c>
      <c r="C7" s="12" t="n">
        <f aca="false">SUMIF(照合一覧!$H$5:$H$137,A7,照合一覧!$D$5:$D$137)</f>
        <v>429321</v>
      </c>
      <c r="D7" s="12" t="n">
        <f aca="false">SUMIF(照合一覧!$H$5:$H$137,A7,照合一覧!$E$5:$E$137)</f>
        <v>426221</v>
      </c>
      <c r="E7" s="13" t="s">
        <v>11</v>
      </c>
    </row>
    <row r="8" customFormat="false" ht="15" hidden="false" customHeight="false" outlineLevel="0" collapsed="false">
      <c r="A8" s="14" t="s">
        <v>12</v>
      </c>
      <c r="B8" s="15" t="n">
        <f aca="false">B6+B7</f>
        <v>133</v>
      </c>
      <c r="C8" s="16" t="n">
        <f aca="false">C6+C7</f>
        <v>888356</v>
      </c>
      <c r="D8" s="16" t="n">
        <f aca="false">D6+D7</f>
        <v>885256</v>
      </c>
      <c r="E8" s="17" t="str">
        <f aca="false">IF(AND(B8=COUNTA(照合一覧!$C$5:$C$137),C8=SUM(照合一覧!$D$5:$D$137)),"CSVの件数・金額と一致（漏れなし）","CSVと不一致：要確認")</f>
        <v>CSVの件数・金額と一致（漏れなし）</v>
      </c>
    </row>
    <row r="9" customFormat="false" ht="15" hidden="false" customHeight="false" outlineLevel="0" collapsed="false">
      <c r="A9" s="18" t="s">
        <v>13</v>
      </c>
    </row>
    <row r="11" customFormat="false" ht="16.4" hidden="false" customHeight="false" outlineLevel="0" collapsed="false">
      <c r="A11" s="3" t="s">
        <v>14</v>
      </c>
    </row>
    <row r="12" customFormat="false" ht="30" hidden="false" customHeight="true" outlineLevel="0" collapsed="false">
      <c r="A12" s="17" t="s">
        <v>15</v>
      </c>
      <c r="B12" s="19" t="s">
        <v>16</v>
      </c>
      <c r="C12" s="19"/>
      <c r="D12" s="19"/>
      <c r="E12" s="19"/>
    </row>
    <row r="13" customFormat="false" ht="30" hidden="false" customHeight="true" outlineLevel="0" collapsed="false">
      <c r="A13" s="17" t="s">
        <v>17</v>
      </c>
      <c r="B13" s="19" t="s">
        <v>18</v>
      </c>
      <c r="C13" s="19"/>
      <c r="D13" s="19"/>
      <c r="E13" s="19"/>
    </row>
    <row r="14" customFormat="false" ht="30" hidden="false" customHeight="true" outlineLevel="0" collapsed="false">
      <c r="A14" s="17" t="s">
        <v>19</v>
      </c>
      <c r="B14" s="19" t="s">
        <v>20</v>
      </c>
      <c r="C14" s="19"/>
      <c r="D14" s="19"/>
      <c r="E14" s="19"/>
    </row>
    <row r="15" customFormat="false" ht="30" hidden="false" customHeight="true" outlineLevel="0" collapsed="false">
      <c r="A15" s="17" t="s">
        <v>21</v>
      </c>
      <c r="B15" s="19" t="s">
        <v>22</v>
      </c>
      <c r="C15" s="19"/>
      <c r="D15" s="19"/>
      <c r="E15" s="19"/>
    </row>
    <row r="17" customFormat="false" ht="16.4" hidden="false" customHeight="false" outlineLevel="0" collapsed="false">
      <c r="A17" s="3" t="s">
        <v>23</v>
      </c>
    </row>
    <row r="18" customFormat="false" ht="15" hidden="false" customHeight="false" outlineLevel="0" collapsed="false">
      <c r="A18" s="20" t="s">
        <v>24</v>
      </c>
    </row>
    <row r="19" customFormat="false" ht="15" hidden="false" customHeight="false" outlineLevel="0" collapsed="false">
      <c r="A19" s="21" t="s">
        <v>3</v>
      </c>
      <c r="B19" s="21" t="s">
        <v>4</v>
      </c>
      <c r="C19" s="21" t="s">
        <v>25</v>
      </c>
      <c r="D19" s="21"/>
      <c r="E19" s="21"/>
    </row>
    <row r="20" customFormat="false" ht="15" hidden="false" customHeight="false" outlineLevel="0" collapsed="false">
      <c r="A20" s="22" t="s">
        <v>26</v>
      </c>
      <c r="B20" s="23" t="n">
        <f aca="false">COUNTA(デビット重複!$B$5:$B$52)</f>
        <v>48</v>
      </c>
      <c r="C20" s="24" t="n">
        <f aca="false">SUM(デビット重複!$D$5:$D$52)</f>
        <v>393396</v>
      </c>
      <c r="D20" s="24"/>
      <c r="E20" s="25" t="s">
        <v>27</v>
      </c>
    </row>
    <row r="21" customFormat="false" ht="15" hidden="false" customHeight="false" outlineLevel="0" collapsed="false">
      <c r="A21" s="6" t="s">
        <v>28</v>
      </c>
      <c r="B21" s="7" t="n">
        <f aca="false">COUNTIF(デビット重複!$J$5:$J$52,"削除済み")</f>
        <v>46</v>
      </c>
      <c r="C21" s="8" t="n">
        <f aca="false">SUMIF(デビット重複!$J$5:$J$52,"削除済み",デビット重複!$D$5:$D$52)</f>
        <v>392026</v>
      </c>
      <c r="D21" s="8"/>
      <c r="E21" s="9"/>
    </row>
    <row r="22" customFormat="false" ht="26.85" hidden="false" customHeight="false" outlineLevel="0" collapsed="false">
      <c r="A22" s="26" t="s">
        <v>29</v>
      </c>
      <c r="B22" s="27" t="n">
        <f aca="false">COUNTIF(デビット重複!$J$5:$J$52,"未削除")</f>
        <v>2</v>
      </c>
      <c r="C22" s="28" t="n">
        <f aca="false">SUMIF(デビット重複!$J$5:$J$52,"未削除",デビット重複!$D$5:$D$52)</f>
        <v>1370</v>
      </c>
      <c r="D22" s="28"/>
      <c r="E22" s="29" t="s">
        <v>30</v>
      </c>
    </row>
    <row r="23" customFormat="false" ht="15" hidden="false" customHeight="false" outlineLevel="0" collapsed="false">
      <c r="A23" s="22" t="s">
        <v>31</v>
      </c>
      <c r="B23" s="23"/>
      <c r="C23" s="24"/>
      <c r="D23" s="24"/>
      <c r="E23" s="25"/>
    </row>
    <row r="24" customFormat="false" ht="15" hidden="false" customHeight="false" outlineLevel="0" collapsed="false">
      <c r="A24" s="18" t="s">
        <v>32</v>
      </c>
    </row>
    <row r="26" customFormat="false" ht="16.4" hidden="false" customHeight="false" outlineLevel="0" collapsed="false">
      <c r="A26" s="3" t="s">
        <v>33</v>
      </c>
    </row>
    <row r="27" customFormat="false" ht="15" hidden="false" customHeight="false" outlineLevel="0" collapsed="false">
      <c r="A27" s="22" t="s">
        <v>34</v>
      </c>
      <c r="B27" s="23"/>
      <c r="C27" s="24" t="n">
        <v>922028</v>
      </c>
      <c r="D27" s="24"/>
      <c r="E27" s="19" t="s">
        <v>35</v>
      </c>
    </row>
    <row r="28" customFormat="false" ht="15" hidden="false" customHeight="false" outlineLevel="0" collapsed="false">
      <c r="A28" s="30" t="s">
        <v>36</v>
      </c>
      <c r="B28" s="31"/>
      <c r="C28" s="32" t="n">
        <f aca="false">C27-C22</f>
        <v>920658</v>
      </c>
      <c r="D28" s="32"/>
      <c r="E28" s="33" t="s">
        <v>37</v>
      </c>
    </row>
    <row r="30" customFormat="false" ht="15" hidden="false" customHeight="false" outlineLevel="0" collapsed="false">
      <c r="A30" s="2" t="s">
        <v>38</v>
      </c>
    </row>
    <row r="32" customFormat="false" ht="16.4" hidden="false" customHeight="false" outlineLevel="0" collapsed="false">
      <c r="A32" s="3" t="s">
        <v>39</v>
      </c>
    </row>
    <row r="33" customFormat="false" ht="14.15" hidden="false" customHeight="false" outlineLevel="0" collapsed="false">
      <c r="A33" s="34" t="s">
        <v>40</v>
      </c>
      <c r="B33" s="34"/>
      <c r="C33" s="34"/>
      <c r="D33" s="34"/>
      <c r="E33" s="34"/>
    </row>
    <row r="34" customFormat="false" ht="14.15" hidden="false" customHeight="false" outlineLevel="0" collapsed="false">
      <c r="A34" s="34" t="s">
        <v>41</v>
      </c>
      <c r="B34" s="34"/>
      <c r="C34" s="34"/>
      <c r="D34" s="34"/>
      <c r="E34" s="34"/>
    </row>
    <row r="35" customFormat="false" ht="15" hidden="false" customHeight="false" outlineLevel="0" collapsed="false">
      <c r="A35" s="34" t="s">
        <v>42</v>
      </c>
      <c r="B35" s="34"/>
      <c r="C35" s="34"/>
      <c r="D35" s="34"/>
      <c r="E35" s="34"/>
    </row>
    <row r="36" customFormat="false" ht="14.15" hidden="false" customHeight="false" outlineLevel="0" collapsed="false">
      <c r="A36" s="35" t="s">
        <v>43</v>
      </c>
      <c r="B36" s="35"/>
      <c r="C36" s="35"/>
      <c r="D36" s="35"/>
      <c r="E36" s="35"/>
    </row>
    <row r="38" customFormat="false" ht="30" hidden="false" customHeight="true" outlineLevel="0" collapsed="false">
      <c r="A38" s="36" t="s">
        <v>44</v>
      </c>
      <c r="B38" s="36"/>
      <c r="C38" s="36"/>
      <c r="D38" s="36"/>
      <c r="E38" s="36"/>
    </row>
  </sheetData>
  <mergeCells count="9">
    <mergeCell ref="B12:E12"/>
    <mergeCell ref="B13:E13"/>
    <mergeCell ref="B14:E14"/>
    <mergeCell ref="B15:E15"/>
    <mergeCell ref="A33:E33"/>
    <mergeCell ref="A34:E34"/>
    <mergeCell ref="A35:E35"/>
    <mergeCell ref="A36:E36"/>
    <mergeCell ref="A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3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32"/>
    <col collapsed="false" customWidth="true" hidden="false" outlineLevel="0" max="5" min="4" style="0" width="12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50"/>
    <col collapsed="false" customWidth="true" hidden="false" outlineLevel="0" max="13" min="13" style="0" width="40"/>
    <col collapsed="false" customWidth="true" hidden="false" outlineLevel="0" max="15" min="14" style="0" width="34"/>
  </cols>
  <sheetData>
    <row r="1" customFormat="false" ht="19.4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31.5" hidden="false" customHeight="true" outlineLevel="0" collapsed="false">
      <c r="A4" s="37" t="s">
        <v>47</v>
      </c>
      <c r="B4" s="38" t="s">
        <v>48</v>
      </c>
      <c r="C4" s="38" t="s">
        <v>49</v>
      </c>
      <c r="D4" s="37" t="s">
        <v>50</v>
      </c>
      <c r="E4" s="37" t="s">
        <v>51</v>
      </c>
      <c r="F4" s="38" t="s">
        <v>52</v>
      </c>
      <c r="G4" s="38" t="s">
        <v>53</v>
      </c>
      <c r="H4" s="37" t="s">
        <v>54</v>
      </c>
      <c r="I4" s="37" t="s">
        <v>55</v>
      </c>
      <c r="J4" s="37" t="s">
        <v>56</v>
      </c>
      <c r="K4" s="37" t="s">
        <v>57</v>
      </c>
      <c r="L4" s="38" t="s">
        <v>58</v>
      </c>
      <c r="M4" s="38" t="s">
        <v>59</v>
      </c>
      <c r="N4" s="38" t="s">
        <v>60</v>
      </c>
      <c r="O4" s="38" t="s">
        <v>61</v>
      </c>
    </row>
    <row r="5" customFormat="false" ht="26.85" hidden="false" customHeight="false" outlineLevel="0" collapsed="false">
      <c r="A5" s="39" t="n">
        <v>1</v>
      </c>
      <c r="B5" s="40" t="n">
        <v>46029</v>
      </c>
      <c r="C5" s="19" t="s">
        <v>62</v>
      </c>
      <c r="D5" s="24" t="n">
        <v>180</v>
      </c>
      <c r="E5" s="24" t="n">
        <v>180</v>
      </c>
      <c r="F5" s="41" t="s">
        <v>63</v>
      </c>
      <c r="G5" s="22" t="s">
        <v>64</v>
      </c>
      <c r="H5" s="42" t="s">
        <v>8</v>
      </c>
      <c r="I5" s="39" t="s">
        <v>65</v>
      </c>
      <c r="J5" s="22" t="s">
        <v>64</v>
      </c>
      <c r="K5" s="22" t="s">
        <v>66</v>
      </c>
      <c r="L5" s="19"/>
      <c r="M5" s="19" t="s">
        <v>67</v>
      </c>
      <c r="N5" s="25" t="s">
        <v>68</v>
      </c>
      <c r="O5" s="19" t="s">
        <v>69</v>
      </c>
    </row>
    <row r="6" customFormat="false" ht="26.85" hidden="false" customHeight="false" outlineLevel="0" collapsed="false">
      <c r="A6" s="39" t="n">
        <v>2</v>
      </c>
      <c r="B6" s="40" t="n">
        <v>46029</v>
      </c>
      <c r="C6" s="19" t="s">
        <v>70</v>
      </c>
      <c r="D6" s="24" t="n">
        <v>4180</v>
      </c>
      <c r="E6" s="24" t="n">
        <v>4180</v>
      </c>
      <c r="F6" s="41" t="s">
        <v>63</v>
      </c>
      <c r="G6" s="22" t="s">
        <v>71</v>
      </c>
      <c r="H6" s="42" t="s">
        <v>8</v>
      </c>
      <c r="I6" s="39" t="s">
        <v>72</v>
      </c>
      <c r="J6" s="22" t="s">
        <v>71</v>
      </c>
      <c r="K6" s="22" t="s">
        <v>66</v>
      </c>
      <c r="L6" s="19"/>
      <c r="M6" s="19" t="s">
        <v>73</v>
      </c>
      <c r="N6" s="25" t="s">
        <v>68</v>
      </c>
      <c r="O6" s="19" t="s">
        <v>69</v>
      </c>
    </row>
    <row r="7" customFormat="false" ht="26.85" hidden="false" customHeight="false" outlineLevel="0" collapsed="false">
      <c r="A7" s="39" t="n">
        <v>3</v>
      </c>
      <c r="B7" s="40" t="n">
        <v>46029</v>
      </c>
      <c r="C7" s="19" t="s">
        <v>74</v>
      </c>
      <c r="D7" s="24" t="n">
        <v>6428</v>
      </c>
      <c r="E7" s="24" t="n">
        <v>6428</v>
      </c>
      <c r="F7" s="41" t="s">
        <v>63</v>
      </c>
      <c r="G7" s="22" t="s">
        <v>71</v>
      </c>
      <c r="H7" s="42" t="s">
        <v>8</v>
      </c>
      <c r="I7" s="39" t="s">
        <v>75</v>
      </c>
      <c r="J7" s="22" t="s">
        <v>71</v>
      </c>
      <c r="K7" s="22" t="s">
        <v>66</v>
      </c>
      <c r="L7" s="19"/>
      <c r="M7" s="19" t="s">
        <v>76</v>
      </c>
      <c r="N7" s="25" t="s">
        <v>68</v>
      </c>
      <c r="O7" s="19" t="s">
        <v>69</v>
      </c>
    </row>
    <row r="8" customFormat="false" ht="26.85" hidden="false" customHeight="false" outlineLevel="0" collapsed="false">
      <c r="A8" s="39" t="n">
        <v>4</v>
      </c>
      <c r="B8" s="40" t="n">
        <v>46030</v>
      </c>
      <c r="C8" s="19" t="s">
        <v>77</v>
      </c>
      <c r="D8" s="24" t="n">
        <v>10000</v>
      </c>
      <c r="E8" s="24" t="n">
        <v>10000</v>
      </c>
      <c r="F8" s="41" t="s">
        <v>63</v>
      </c>
      <c r="G8" s="22" t="s">
        <v>78</v>
      </c>
      <c r="H8" s="42" t="s">
        <v>8</v>
      </c>
      <c r="I8" s="39" t="s">
        <v>79</v>
      </c>
      <c r="J8" s="22" t="s">
        <v>78</v>
      </c>
      <c r="K8" s="22" t="s">
        <v>66</v>
      </c>
      <c r="L8" s="19"/>
      <c r="M8" s="19" t="s">
        <v>80</v>
      </c>
      <c r="N8" s="25" t="s">
        <v>68</v>
      </c>
      <c r="O8" s="19" t="s">
        <v>69</v>
      </c>
    </row>
    <row r="9" customFormat="false" ht="26.85" hidden="false" customHeight="false" outlineLevel="0" collapsed="false">
      <c r="A9" s="39" t="n">
        <v>5</v>
      </c>
      <c r="B9" s="40" t="n">
        <v>46031</v>
      </c>
      <c r="C9" s="19" t="s">
        <v>81</v>
      </c>
      <c r="D9" s="24" t="n">
        <v>371</v>
      </c>
      <c r="E9" s="24" t="n">
        <v>371</v>
      </c>
      <c r="F9" s="41" t="s">
        <v>63</v>
      </c>
      <c r="G9" s="22" t="s">
        <v>82</v>
      </c>
      <c r="H9" s="42" t="s">
        <v>8</v>
      </c>
      <c r="I9" s="39" t="s">
        <v>83</v>
      </c>
      <c r="J9" s="22" t="s">
        <v>82</v>
      </c>
      <c r="K9" s="22" t="s">
        <v>66</v>
      </c>
      <c r="L9" s="19"/>
      <c r="M9" s="19" t="s">
        <v>84</v>
      </c>
      <c r="N9" s="25" t="s">
        <v>68</v>
      </c>
      <c r="O9" s="19" t="s">
        <v>69</v>
      </c>
    </row>
    <row r="10" customFormat="false" ht="26.85" hidden="false" customHeight="false" outlineLevel="0" collapsed="false">
      <c r="A10" s="39" t="n">
        <v>6</v>
      </c>
      <c r="B10" s="40" t="n">
        <v>46032</v>
      </c>
      <c r="C10" s="19" t="s">
        <v>85</v>
      </c>
      <c r="D10" s="24" t="n">
        <v>76572</v>
      </c>
      <c r="E10" s="24" t="n">
        <v>76572</v>
      </c>
      <c r="F10" s="41" t="s">
        <v>63</v>
      </c>
      <c r="G10" s="22" t="s">
        <v>86</v>
      </c>
      <c r="H10" s="42" t="s">
        <v>8</v>
      </c>
      <c r="I10" s="39" t="s">
        <v>87</v>
      </c>
      <c r="J10" s="22" t="s">
        <v>86</v>
      </c>
      <c r="K10" s="22" t="s">
        <v>66</v>
      </c>
      <c r="L10" s="19"/>
      <c r="M10" s="19" t="s">
        <v>88</v>
      </c>
      <c r="N10" s="25" t="s">
        <v>68</v>
      </c>
      <c r="O10" s="19" t="s">
        <v>69</v>
      </c>
    </row>
    <row r="11" customFormat="false" ht="26.85" hidden="false" customHeight="false" outlineLevel="0" collapsed="false">
      <c r="A11" s="39" t="n">
        <v>7</v>
      </c>
      <c r="B11" s="40" t="n">
        <v>46041</v>
      </c>
      <c r="C11" s="19" t="s">
        <v>89</v>
      </c>
      <c r="D11" s="24" t="n">
        <v>4136</v>
      </c>
      <c r="E11" s="24" t="n">
        <v>4136</v>
      </c>
      <c r="F11" s="41" t="s">
        <v>63</v>
      </c>
      <c r="G11" s="22" t="s">
        <v>82</v>
      </c>
      <c r="H11" s="42" t="s">
        <v>8</v>
      </c>
      <c r="I11" s="39" t="s">
        <v>90</v>
      </c>
      <c r="J11" s="22" t="s">
        <v>82</v>
      </c>
      <c r="K11" s="22" t="s">
        <v>66</v>
      </c>
      <c r="L11" s="19"/>
      <c r="M11" s="19" t="s">
        <v>91</v>
      </c>
      <c r="N11" s="25" t="s">
        <v>68</v>
      </c>
      <c r="O11" s="19" t="s">
        <v>69</v>
      </c>
    </row>
    <row r="12" customFormat="false" ht="26.85" hidden="false" customHeight="false" outlineLevel="0" collapsed="false">
      <c r="A12" s="39" t="n">
        <v>8</v>
      </c>
      <c r="B12" s="40" t="n">
        <v>46042</v>
      </c>
      <c r="C12" s="19" t="s">
        <v>92</v>
      </c>
      <c r="D12" s="24" t="n">
        <v>300</v>
      </c>
      <c r="E12" s="24" t="n">
        <v>300</v>
      </c>
      <c r="F12" s="41" t="s">
        <v>63</v>
      </c>
      <c r="G12" s="22" t="s">
        <v>71</v>
      </c>
      <c r="H12" s="42" t="s">
        <v>8</v>
      </c>
      <c r="I12" s="39" t="s">
        <v>93</v>
      </c>
      <c r="J12" s="22" t="s">
        <v>71</v>
      </c>
      <c r="K12" s="22" t="s">
        <v>66</v>
      </c>
      <c r="L12" s="19"/>
      <c r="M12" s="19" t="s">
        <v>94</v>
      </c>
      <c r="N12" s="25" t="s">
        <v>68</v>
      </c>
      <c r="O12" s="19" t="s">
        <v>69</v>
      </c>
    </row>
    <row r="13" customFormat="false" ht="26.85" hidden="false" customHeight="false" outlineLevel="0" collapsed="false">
      <c r="A13" s="39" t="n">
        <v>9</v>
      </c>
      <c r="B13" s="40" t="n">
        <v>46042</v>
      </c>
      <c r="C13" s="19" t="s">
        <v>92</v>
      </c>
      <c r="D13" s="24" t="n">
        <v>500</v>
      </c>
      <c r="E13" s="24" t="n">
        <v>500</v>
      </c>
      <c r="F13" s="41" t="s">
        <v>63</v>
      </c>
      <c r="G13" s="22" t="s">
        <v>71</v>
      </c>
      <c r="H13" s="42" t="s">
        <v>8</v>
      </c>
      <c r="I13" s="39" t="s">
        <v>95</v>
      </c>
      <c r="J13" s="22" t="s">
        <v>71</v>
      </c>
      <c r="K13" s="22" t="s">
        <v>66</v>
      </c>
      <c r="L13" s="19"/>
      <c r="M13" s="19" t="s">
        <v>94</v>
      </c>
      <c r="N13" s="25" t="s">
        <v>68</v>
      </c>
      <c r="O13" s="19" t="s">
        <v>69</v>
      </c>
    </row>
    <row r="14" customFormat="false" ht="26.85" hidden="false" customHeight="false" outlineLevel="0" collapsed="false">
      <c r="A14" s="39" t="n">
        <v>10</v>
      </c>
      <c r="B14" s="40" t="n">
        <v>46044</v>
      </c>
      <c r="C14" s="19" t="s">
        <v>96</v>
      </c>
      <c r="D14" s="24" t="n">
        <v>9440</v>
      </c>
      <c r="E14" s="24" t="n">
        <v>9440</v>
      </c>
      <c r="F14" s="41" t="s">
        <v>63</v>
      </c>
      <c r="G14" s="22" t="s">
        <v>78</v>
      </c>
      <c r="H14" s="42" t="s">
        <v>8</v>
      </c>
      <c r="I14" s="39" t="s">
        <v>97</v>
      </c>
      <c r="J14" s="22" t="s">
        <v>78</v>
      </c>
      <c r="K14" s="22" t="s">
        <v>66</v>
      </c>
      <c r="L14" s="19"/>
      <c r="M14" s="19" t="s">
        <v>98</v>
      </c>
      <c r="N14" s="25" t="s">
        <v>68</v>
      </c>
      <c r="O14" s="19" t="s">
        <v>69</v>
      </c>
    </row>
    <row r="15" customFormat="false" ht="26.85" hidden="false" customHeight="false" outlineLevel="0" collapsed="false">
      <c r="A15" s="39" t="n">
        <v>11</v>
      </c>
      <c r="B15" s="40" t="n">
        <v>46046</v>
      </c>
      <c r="C15" s="19" t="s">
        <v>99</v>
      </c>
      <c r="D15" s="24" t="n">
        <v>2280</v>
      </c>
      <c r="E15" s="24" t="n">
        <v>2280</v>
      </c>
      <c r="F15" s="41" t="s">
        <v>63</v>
      </c>
      <c r="G15" s="22" t="s">
        <v>71</v>
      </c>
      <c r="H15" s="42" t="s">
        <v>8</v>
      </c>
      <c r="I15" s="39" t="s">
        <v>100</v>
      </c>
      <c r="J15" s="22" t="s">
        <v>71</v>
      </c>
      <c r="K15" s="22" t="s">
        <v>66</v>
      </c>
      <c r="L15" s="19"/>
      <c r="M15" s="19" t="s">
        <v>101</v>
      </c>
      <c r="N15" s="25" t="s">
        <v>68</v>
      </c>
      <c r="O15" s="19" t="s">
        <v>69</v>
      </c>
    </row>
    <row r="16" customFormat="false" ht="26.85" hidden="false" customHeight="false" outlineLevel="0" collapsed="false">
      <c r="A16" s="39" t="n">
        <v>12</v>
      </c>
      <c r="B16" s="40" t="n">
        <v>46047</v>
      </c>
      <c r="C16" s="19" t="s">
        <v>102</v>
      </c>
      <c r="D16" s="24" t="n">
        <v>2000</v>
      </c>
      <c r="E16" s="24" t="n">
        <v>2000</v>
      </c>
      <c r="F16" s="41" t="s">
        <v>63</v>
      </c>
      <c r="G16" s="22" t="s">
        <v>82</v>
      </c>
      <c r="H16" s="42" t="s">
        <v>8</v>
      </c>
      <c r="I16" s="39" t="s">
        <v>103</v>
      </c>
      <c r="J16" s="22" t="s">
        <v>82</v>
      </c>
      <c r="K16" s="22" t="s">
        <v>66</v>
      </c>
      <c r="L16" s="19"/>
      <c r="M16" s="19" t="s">
        <v>104</v>
      </c>
      <c r="N16" s="25" t="s">
        <v>68</v>
      </c>
      <c r="O16" s="19" t="s">
        <v>69</v>
      </c>
    </row>
    <row r="17" customFormat="false" ht="26.85" hidden="false" customHeight="false" outlineLevel="0" collapsed="false">
      <c r="A17" s="39" t="n">
        <v>13</v>
      </c>
      <c r="B17" s="40" t="n">
        <v>46048</v>
      </c>
      <c r="C17" s="19" t="s">
        <v>105</v>
      </c>
      <c r="D17" s="24" t="n">
        <v>4000</v>
      </c>
      <c r="E17" s="24" t="n">
        <v>4000</v>
      </c>
      <c r="F17" s="41" t="s">
        <v>63</v>
      </c>
      <c r="G17" s="22" t="s">
        <v>82</v>
      </c>
      <c r="H17" s="42" t="s">
        <v>8</v>
      </c>
      <c r="I17" s="39" t="s">
        <v>106</v>
      </c>
      <c r="J17" s="22" t="s">
        <v>82</v>
      </c>
      <c r="K17" s="22" t="s">
        <v>66</v>
      </c>
      <c r="L17" s="19"/>
      <c r="M17" s="19" t="s">
        <v>107</v>
      </c>
      <c r="N17" s="25" t="s">
        <v>68</v>
      </c>
      <c r="O17" s="19" t="s">
        <v>69</v>
      </c>
    </row>
    <row r="18" customFormat="false" ht="26.85" hidden="false" customHeight="false" outlineLevel="0" collapsed="false">
      <c r="A18" s="39" t="n">
        <v>14</v>
      </c>
      <c r="B18" s="40" t="n">
        <v>46048</v>
      </c>
      <c r="C18" s="19" t="s">
        <v>108</v>
      </c>
      <c r="D18" s="24" t="n">
        <v>12760</v>
      </c>
      <c r="E18" s="24" t="n">
        <v>12760</v>
      </c>
      <c r="F18" s="41" t="s">
        <v>63</v>
      </c>
      <c r="G18" s="22" t="s">
        <v>78</v>
      </c>
      <c r="H18" s="42" t="s">
        <v>8</v>
      </c>
      <c r="I18" s="39" t="s">
        <v>109</v>
      </c>
      <c r="J18" s="22" t="s">
        <v>78</v>
      </c>
      <c r="K18" s="22" t="s">
        <v>66</v>
      </c>
      <c r="L18" s="19"/>
      <c r="M18" s="19" t="s">
        <v>110</v>
      </c>
      <c r="N18" s="25" t="s">
        <v>68</v>
      </c>
      <c r="O18" s="19" t="s">
        <v>69</v>
      </c>
    </row>
    <row r="19" customFormat="false" ht="26.85" hidden="false" customHeight="false" outlineLevel="0" collapsed="false">
      <c r="A19" s="39" t="n">
        <v>15</v>
      </c>
      <c r="B19" s="40" t="n">
        <v>46048</v>
      </c>
      <c r="C19" s="19" t="s">
        <v>111</v>
      </c>
      <c r="D19" s="24" t="n">
        <v>14000</v>
      </c>
      <c r="E19" s="24" t="n">
        <v>14000</v>
      </c>
      <c r="F19" s="22" t="s">
        <v>112</v>
      </c>
      <c r="G19" s="22" t="s">
        <v>78</v>
      </c>
      <c r="H19" s="42" t="s">
        <v>10</v>
      </c>
      <c r="I19" s="39" t="s">
        <v>113</v>
      </c>
      <c r="J19" s="22" t="s">
        <v>78</v>
      </c>
      <c r="K19" s="22" t="s">
        <v>66</v>
      </c>
      <c r="L19" s="19"/>
      <c r="M19" s="19" t="s">
        <v>114</v>
      </c>
      <c r="N19" s="25" t="s">
        <v>115</v>
      </c>
      <c r="O19" s="19" t="s">
        <v>116</v>
      </c>
    </row>
    <row r="20" customFormat="false" ht="26.85" hidden="false" customHeight="false" outlineLevel="0" collapsed="false">
      <c r="A20" s="39" t="n">
        <v>16</v>
      </c>
      <c r="B20" s="40" t="n">
        <v>46049</v>
      </c>
      <c r="C20" s="19" t="s">
        <v>117</v>
      </c>
      <c r="D20" s="24" t="n">
        <v>2980</v>
      </c>
      <c r="E20" s="24" t="n">
        <v>2980</v>
      </c>
      <c r="F20" s="41" t="s">
        <v>63</v>
      </c>
      <c r="G20" s="22" t="s">
        <v>82</v>
      </c>
      <c r="H20" s="42" t="s">
        <v>8</v>
      </c>
      <c r="I20" s="39" t="s">
        <v>118</v>
      </c>
      <c r="J20" s="22" t="s">
        <v>82</v>
      </c>
      <c r="K20" s="22" t="s">
        <v>66</v>
      </c>
      <c r="L20" s="19"/>
      <c r="M20" s="19" t="s">
        <v>119</v>
      </c>
      <c r="N20" s="25" t="s">
        <v>68</v>
      </c>
      <c r="O20" s="19" t="s">
        <v>69</v>
      </c>
    </row>
    <row r="21" customFormat="false" ht="26.85" hidden="false" customHeight="false" outlineLevel="0" collapsed="false">
      <c r="A21" s="39" t="n">
        <v>17</v>
      </c>
      <c r="B21" s="40" t="n">
        <v>46050</v>
      </c>
      <c r="C21" s="19" t="s">
        <v>120</v>
      </c>
      <c r="D21" s="24" t="n">
        <v>800</v>
      </c>
      <c r="E21" s="24" t="n">
        <v>800</v>
      </c>
      <c r="F21" s="41" t="s">
        <v>63</v>
      </c>
      <c r="G21" s="22" t="s">
        <v>78</v>
      </c>
      <c r="H21" s="42" t="s">
        <v>8</v>
      </c>
      <c r="I21" s="39" t="s">
        <v>121</v>
      </c>
      <c r="J21" s="22" t="s">
        <v>78</v>
      </c>
      <c r="K21" s="22" t="s">
        <v>66</v>
      </c>
      <c r="L21" s="19"/>
      <c r="M21" s="19" t="s">
        <v>122</v>
      </c>
      <c r="N21" s="25" t="s">
        <v>68</v>
      </c>
      <c r="O21" s="19" t="s">
        <v>69</v>
      </c>
    </row>
    <row r="22" customFormat="false" ht="26.85" hidden="false" customHeight="false" outlineLevel="0" collapsed="false">
      <c r="A22" s="39" t="n">
        <v>18</v>
      </c>
      <c r="B22" s="40" t="n">
        <v>46050</v>
      </c>
      <c r="C22" s="19" t="s">
        <v>123</v>
      </c>
      <c r="D22" s="24" t="n">
        <v>9440</v>
      </c>
      <c r="E22" s="24" t="n">
        <v>9440</v>
      </c>
      <c r="F22" s="41" t="s">
        <v>63</v>
      </c>
      <c r="G22" s="22" t="s">
        <v>78</v>
      </c>
      <c r="H22" s="42" t="s">
        <v>8</v>
      </c>
      <c r="I22" s="39" t="s">
        <v>124</v>
      </c>
      <c r="J22" s="22" t="s">
        <v>78</v>
      </c>
      <c r="K22" s="22" t="s">
        <v>66</v>
      </c>
      <c r="L22" s="19"/>
      <c r="M22" s="19" t="s">
        <v>125</v>
      </c>
      <c r="N22" s="25" t="s">
        <v>68</v>
      </c>
      <c r="O22" s="19" t="s">
        <v>69</v>
      </c>
    </row>
    <row r="23" customFormat="false" ht="26.85" hidden="false" customHeight="false" outlineLevel="0" collapsed="false">
      <c r="A23" s="39" t="n">
        <v>19</v>
      </c>
      <c r="B23" s="40" t="n">
        <v>46050</v>
      </c>
      <c r="C23" s="19" t="s">
        <v>123</v>
      </c>
      <c r="D23" s="24" t="n">
        <v>13000</v>
      </c>
      <c r="E23" s="24" t="n">
        <v>13000</v>
      </c>
      <c r="F23" s="41" t="s">
        <v>63</v>
      </c>
      <c r="G23" s="22" t="s">
        <v>78</v>
      </c>
      <c r="H23" s="42" t="s">
        <v>8</v>
      </c>
      <c r="I23" s="39" t="s">
        <v>126</v>
      </c>
      <c r="J23" s="22" t="s">
        <v>78</v>
      </c>
      <c r="K23" s="22" t="s">
        <v>66</v>
      </c>
      <c r="L23" s="19"/>
      <c r="M23" s="19" t="s">
        <v>125</v>
      </c>
      <c r="N23" s="25" t="s">
        <v>68</v>
      </c>
      <c r="O23" s="19" t="s">
        <v>69</v>
      </c>
    </row>
    <row r="24" customFormat="false" ht="26.85" hidden="false" customHeight="false" outlineLevel="0" collapsed="false">
      <c r="A24" s="39" t="n">
        <v>20</v>
      </c>
      <c r="B24" s="40" t="n">
        <v>46052</v>
      </c>
      <c r="C24" s="19" t="s">
        <v>127</v>
      </c>
      <c r="D24" s="24" t="n">
        <v>470</v>
      </c>
      <c r="E24" s="24" t="n">
        <v>470</v>
      </c>
      <c r="F24" s="41" t="s">
        <v>63</v>
      </c>
      <c r="G24" s="22" t="s">
        <v>82</v>
      </c>
      <c r="H24" s="42" t="s">
        <v>8</v>
      </c>
      <c r="I24" s="39" t="s">
        <v>128</v>
      </c>
      <c r="J24" s="22" t="s">
        <v>82</v>
      </c>
      <c r="K24" s="22" t="s">
        <v>66</v>
      </c>
      <c r="L24" s="19"/>
      <c r="M24" s="19" t="s">
        <v>129</v>
      </c>
      <c r="N24" s="25" t="s">
        <v>68</v>
      </c>
      <c r="O24" s="19" t="s">
        <v>69</v>
      </c>
    </row>
    <row r="25" customFormat="false" ht="26.85" hidden="false" customHeight="false" outlineLevel="0" collapsed="false">
      <c r="A25" s="39" t="n">
        <v>21</v>
      </c>
      <c r="B25" s="40" t="n">
        <v>46054</v>
      </c>
      <c r="C25" s="19" t="s">
        <v>92</v>
      </c>
      <c r="D25" s="24" t="n">
        <v>500</v>
      </c>
      <c r="E25" s="24" t="n">
        <v>500</v>
      </c>
      <c r="F25" s="41" t="s">
        <v>63</v>
      </c>
      <c r="G25" s="22" t="s">
        <v>71</v>
      </c>
      <c r="H25" s="42" t="s">
        <v>8</v>
      </c>
      <c r="I25" s="39" t="s">
        <v>130</v>
      </c>
      <c r="J25" s="22" t="s">
        <v>71</v>
      </c>
      <c r="K25" s="22" t="s">
        <v>66</v>
      </c>
      <c r="L25" s="19"/>
      <c r="M25" s="19" t="s">
        <v>94</v>
      </c>
      <c r="N25" s="25" t="s">
        <v>68</v>
      </c>
      <c r="O25" s="19" t="s">
        <v>69</v>
      </c>
    </row>
    <row r="26" customFormat="false" ht="26.85" hidden="false" customHeight="false" outlineLevel="0" collapsed="false">
      <c r="A26" s="39" t="n">
        <v>22</v>
      </c>
      <c r="B26" s="40" t="n">
        <v>46054</v>
      </c>
      <c r="C26" s="19" t="s">
        <v>131</v>
      </c>
      <c r="D26" s="24" t="n">
        <v>1980</v>
      </c>
      <c r="E26" s="24" t="n">
        <v>1980</v>
      </c>
      <c r="F26" s="41" t="s">
        <v>63</v>
      </c>
      <c r="G26" s="22" t="s">
        <v>71</v>
      </c>
      <c r="H26" s="42" t="s">
        <v>8</v>
      </c>
      <c r="I26" s="39" t="s">
        <v>132</v>
      </c>
      <c r="J26" s="22" t="s">
        <v>71</v>
      </c>
      <c r="K26" s="22" t="s">
        <v>66</v>
      </c>
      <c r="L26" s="19"/>
      <c r="M26" s="19" t="s">
        <v>133</v>
      </c>
      <c r="N26" s="25" t="s">
        <v>68</v>
      </c>
      <c r="O26" s="19" t="s">
        <v>69</v>
      </c>
    </row>
    <row r="27" customFormat="false" ht="26.85" hidden="false" customHeight="false" outlineLevel="0" collapsed="false">
      <c r="A27" s="39" t="n">
        <v>23</v>
      </c>
      <c r="B27" s="40" t="n">
        <v>46054</v>
      </c>
      <c r="C27" s="19" t="s">
        <v>81</v>
      </c>
      <c r="D27" s="24" t="n">
        <v>4658</v>
      </c>
      <c r="E27" s="24" t="n">
        <v>4658</v>
      </c>
      <c r="F27" s="41" t="s">
        <v>63</v>
      </c>
      <c r="G27" s="22" t="s">
        <v>82</v>
      </c>
      <c r="H27" s="42" t="s">
        <v>8</v>
      </c>
      <c r="I27" s="39" t="s">
        <v>134</v>
      </c>
      <c r="J27" s="22" t="s">
        <v>82</v>
      </c>
      <c r="K27" s="22" t="s">
        <v>66</v>
      </c>
      <c r="L27" s="19"/>
      <c r="M27" s="19" t="s">
        <v>84</v>
      </c>
      <c r="N27" s="25" t="s">
        <v>68</v>
      </c>
      <c r="O27" s="19" t="s">
        <v>69</v>
      </c>
    </row>
    <row r="28" customFormat="false" ht="26.85" hidden="false" customHeight="false" outlineLevel="0" collapsed="false">
      <c r="A28" s="39" t="n">
        <v>24</v>
      </c>
      <c r="B28" s="40" t="n">
        <v>46054</v>
      </c>
      <c r="C28" s="19" t="s">
        <v>81</v>
      </c>
      <c r="D28" s="24" t="n">
        <v>5508</v>
      </c>
      <c r="E28" s="24" t="n">
        <v>5508</v>
      </c>
      <c r="F28" s="41" t="s">
        <v>63</v>
      </c>
      <c r="G28" s="22" t="s">
        <v>82</v>
      </c>
      <c r="H28" s="42" t="s">
        <v>8</v>
      </c>
      <c r="I28" s="39" t="s">
        <v>135</v>
      </c>
      <c r="J28" s="22" t="s">
        <v>82</v>
      </c>
      <c r="K28" s="22" t="s">
        <v>66</v>
      </c>
      <c r="L28" s="19"/>
      <c r="M28" s="19" t="s">
        <v>84</v>
      </c>
      <c r="N28" s="25" t="s">
        <v>68</v>
      </c>
      <c r="O28" s="19" t="s">
        <v>69</v>
      </c>
    </row>
    <row r="29" customFormat="false" ht="26.85" hidden="false" customHeight="false" outlineLevel="0" collapsed="false">
      <c r="A29" s="39" t="n">
        <v>25</v>
      </c>
      <c r="B29" s="40" t="n">
        <v>46056</v>
      </c>
      <c r="C29" s="19" t="s">
        <v>136</v>
      </c>
      <c r="D29" s="24" t="n">
        <v>11500</v>
      </c>
      <c r="E29" s="24" t="n">
        <v>11500</v>
      </c>
      <c r="F29" s="41" t="s">
        <v>63</v>
      </c>
      <c r="G29" s="22" t="s">
        <v>137</v>
      </c>
      <c r="H29" s="42" t="s">
        <v>10</v>
      </c>
      <c r="I29" s="39" t="s">
        <v>138</v>
      </c>
      <c r="J29" s="22" t="s">
        <v>86</v>
      </c>
      <c r="K29" s="22" t="s">
        <v>66</v>
      </c>
      <c r="L29" s="19"/>
      <c r="M29" s="19" t="s">
        <v>139</v>
      </c>
      <c r="N29" s="25" t="s">
        <v>140</v>
      </c>
      <c r="O29" s="19" t="s">
        <v>141</v>
      </c>
    </row>
    <row r="30" customFormat="false" ht="26.85" hidden="false" customHeight="false" outlineLevel="0" collapsed="false">
      <c r="A30" s="39" t="n">
        <v>26</v>
      </c>
      <c r="B30" s="40" t="n">
        <v>46058</v>
      </c>
      <c r="C30" s="19" t="s">
        <v>96</v>
      </c>
      <c r="D30" s="24" t="n">
        <v>1020</v>
      </c>
      <c r="E30" s="24" t="n">
        <v>1020</v>
      </c>
      <c r="F30" s="41" t="s">
        <v>63</v>
      </c>
      <c r="G30" s="22" t="s">
        <v>78</v>
      </c>
      <c r="H30" s="42" t="s">
        <v>8</v>
      </c>
      <c r="I30" s="39" t="s">
        <v>142</v>
      </c>
      <c r="J30" s="22" t="s">
        <v>78</v>
      </c>
      <c r="K30" s="22" t="s">
        <v>66</v>
      </c>
      <c r="L30" s="19"/>
      <c r="M30" s="19" t="s">
        <v>98</v>
      </c>
      <c r="N30" s="25" t="s">
        <v>143</v>
      </c>
      <c r="O30" s="19" t="s">
        <v>69</v>
      </c>
    </row>
    <row r="31" customFormat="false" ht="26.85" hidden="false" customHeight="false" outlineLevel="0" collapsed="false">
      <c r="A31" s="39" t="n">
        <v>27</v>
      </c>
      <c r="B31" s="40" t="n">
        <v>46058</v>
      </c>
      <c r="C31" s="19" t="s">
        <v>96</v>
      </c>
      <c r="D31" s="24" t="n">
        <v>1480</v>
      </c>
      <c r="E31" s="24" t="n">
        <v>1480</v>
      </c>
      <c r="F31" s="41" t="s">
        <v>63</v>
      </c>
      <c r="G31" s="22" t="s">
        <v>78</v>
      </c>
      <c r="H31" s="42" t="s">
        <v>8</v>
      </c>
      <c r="I31" s="39" t="s">
        <v>144</v>
      </c>
      <c r="J31" s="22" t="s">
        <v>78</v>
      </c>
      <c r="K31" s="22" t="s">
        <v>66</v>
      </c>
      <c r="L31" s="19"/>
      <c r="M31" s="19" t="s">
        <v>98</v>
      </c>
      <c r="N31" s="25" t="s">
        <v>143</v>
      </c>
      <c r="O31" s="19" t="s">
        <v>69</v>
      </c>
    </row>
    <row r="32" customFormat="false" ht="26.85" hidden="false" customHeight="false" outlineLevel="0" collapsed="false">
      <c r="A32" s="39" t="n">
        <v>28</v>
      </c>
      <c r="B32" s="40" t="n">
        <v>46058</v>
      </c>
      <c r="C32" s="19" t="s">
        <v>77</v>
      </c>
      <c r="D32" s="24" t="n">
        <v>10000</v>
      </c>
      <c r="E32" s="24" t="n">
        <v>10000</v>
      </c>
      <c r="F32" s="41" t="s">
        <v>63</v>
      </c>
      <c r="G32" s="22" t="s">
        <v>78</v>
      </c>
      <c r="H32" s="42" t="s">
        <v>8</v>
      </c>
      <c r="I32" s="39" t="s">
        <v>145</v>
      </c>
      <c r="J32" s="22" t="s">
        <v>78</v>
      </c>
      <c r="K32" s="22" t="s">
        <v>66</v>
      </c>
      <c r="L32" s="19"/>
      <c r="M32" s="19" t="s">
        <v>80</v>
      </c>
      <c r="N32" s="25" t="s">
        <v>143</v>
      </c>
      <c r="O32" s="19" t="s">
        <v>69</v>
      </c>
    </row>
    <row r="33" customFormat="false" ht="26.85" hidden="false" customHeight="false" outlineLevel="0" collapsed="false">
      <c r="A33" s="39" t="n">
        <v>29</v>
      </c>
      <c r="B33" s="40" t="n">
        <v>46058</v>
      </c>
      <c r="C33" s="19" t="s">
        <v>146</v>
      </c>
      <c r="D33" s="24" t="n">
        <v>85536</v>
      </c>
      <c r="E33" s="24" t="n">
        <v>85536</v>
      </c>
      <c r="F33" s="41" t="s">
        <v>63</v>
      </c>
      <c r="G33" s="22" t="s">
        <v>71</v>
      </c>
      <c r="H33" s="42" t="s">
        <v>8</v>
      </c>
      <c r="I33" s="39" t="s">
        <v>147</v>
      </c>
      <c r="J33" s="22" t="s">
        <v>71</v>
      </c>
      <c r="K33" s="22" t="s">
        <v>66</v>
      </c>
      <c r="L33" s="19"/>
      <c r="M33" s="19" t="s">
        <v>148</v>
      </c>
      <c r="N33" s="25" t="s">
        <v>143</v>
      </c>
      <c r="O33" s="19" t="s">
        <v>69</v>
      </c>
    </row>
    <row r="34" customFormat="false" ht="26.85" hidden="false" customHeight="false" outlineLevel="0" collapsed="false">
      <c r="A34" s="39" t="n">
        <v>30</v>
      </c>
      <c r="B34" s="40" t="n">
        <v>46060</v>
      </c>
      <c r="C34" s="19" t="s">
        <v>70</v>
      </c>
      <c r="D34" s="24" t="n">
        <v>4180</v>
      </c>
      <c r="E34" s="24" t="n">
        <v>4180</v>
      </c>
      <c r="F34" s="41" t="s">
        <v>63</v>
      </c>
      <c r="G34" s="22" t="s">
        <v>71</v>
      </c>
      <c r="H34" s="42" t="s">
        <v>8</v>
      </c>
      <c r="I34" s="39" t="s">
        <v>149</v>
      </c>
      <c r="J34" s="22" t="s">
        <v>71</v>
      </c>
      <c r="K34" s="22" t="s">
        <v>66</v>
      </c>
      <c r="L34" s="19"/>
      <c r="M34" s="19" t="s">
        <v>73</v>
      </c>
      <c r="N34" s="25" t="s">
        <v>143</v>
      </c>
      <c r="O34" s="19" t="s">
        <v>69</v>
      </c>
    </row>
    <row r="35" customFormat="false" ht="26.85" hidden="false" customHeight="false" outlineLevel="0" collapsed="false">
      <c r="A35" s="39" t="n">
        <v>31</v>
      </c>
      <c r="B35" s="40" t="n">
        <v>46071</v>
      </c>
      <c r="C35" s="19" t="s">
        <v>150</v>
      </c>
      <c r="D35" s="24" t="n">
        <v>200</v>
      </c>
      <c r="E35" s="24" t="n">
        <v>200</v>
      </c>
      <c r="F35" s="22" t="s">
        <v>151</v>
      </c>
      <c r="G35" s="22" t="s">
        <v>78</v>
      </c>
      <c r="H35" s="42" t="s">
        <v>10</v>
      </c>
      <c r="I35" s="39" t="s">
        <v>152</v>
      </c>
      <c r="J35" s="22" t="s">
        <v>78</v>
      </c>
      <c r="K35" s="22" t="s">
        <v>66</v>
      </c>
      <c r="L35" s="19"/>
      <c r="M35" s="19" t="s">
        <v>153</v>
      </c>
      <c r="N35" s="25" t="s">
        <v>154</v>
      </c>
      <c r="O35" s="19" t="s">
        <v>155</v>
      </c>
    </row>
    <row r="36" customFormat="false" ht="26.85" hidden="false" customHeight="false" outlineLevel="0" collapsed="false">
      <c r="A36" s="39" t="n">
        <v>32</v>
      </c>
      <c r="B36" s="40" t="n">
        <v>46072</v>
      </c>
      <c r="C36" s="25" t="s">
        <v>156</v>
      </c>
      <c r="D36" s="24" t="n">
        <v>200</v>
      </c>
      <c r="E36" s="24" t="n">
        <v>200</v>
      </c>
      <c r="F36" s="22" t="s">
        <v>151</v>
      </c>
      <c r="G36" s="22" t="s">
        <v>78</v>
      </c>
      <c r="H36" s="42" t="s">
        <v>10</v>
      </c>
      <c r="I36" s="39" t="s">
        <v>157</v>
      </c>
      <c r="J36" s="22" t="s">
        <v>78</v>
      </c>
      <c r="K36" s="22" t="s">
        <v>66</v>
      </c>
      <c r="L36" s="19"/>
      <c r="M36" s="25" t="s">
        <v>158</v>
      </c>
      <c r="N36" s="25" t="s">
        <v>159</v>
      </c>
      <c r="O36" s="19" t="s">
        <v>155</v>
      </c>
    </row>
    <row r="37" customFormat="false" ht="26.85" hidden="false" customHeight="false" outlineLevel="0" collapsed="false">
      <c r="A37" s="39" t="n">
        <v>33</v>
      </c>
      <c r="B37" s="40" t="n">
        <v>46076</v>
      </c>
      <c r="C37" s="25" t="s">
        <v>160</v>
      </c>
      <c r="D37" s="24" t="n">
        <v>200</v>
      </c>
      <c r="E37" s="24" t="n">
        <v>200</v>
      </c>
      <c r="F37" s="22" t="s">
        <v>151</v>
      </c>
      <c r="G37" s="22" t="s">
        <v>78</v>
      </c>
      <c r="H37" s="42" t="s">
        <v>10</v>
      </c>
      <c r="I37" s="39" t="s">
        <v>161</v>
      </c>
      <c r="J37" s="22" t="s">
        <v>78</v>
      </c>
      <c r="K37" s="22" t="s">
        <v>66</v>
      </c>
      <c r="L37" s="19"/>
      <c r="M37" s="25" t="s">
        <v>162</v>
      </c>
      <c r="N37" s="25" t="s">
        <v>163</v>
      </c>
      <c r="O37" s="19" t="s">
        <v>164</v>
      </c>
    </row>
    <row r="38" customFormat="false" ht="26.85" hidden="false" customHeight="false" outlineLevel="0" collapsed="false">
      <c r="A38" s="39" t="n">
        <v>34</v>
      </c>
      <c r="B38" s="40" t="n">
        <v>46076</v>
      </c>
      <c r="C38" s="25" t="s">
        <v>160</v>
      </c>
      <c r="D38" s="24" t="n">
        <v>200</v>
      </c>
      <c r="E38" s="24" t="n">
        <v>200</v>
      </c>
      <c r="F38" s="22" t="s">
        <v>151</v>
      </c>
      <c r="G38" s="22" t="s">
        <v>78</v>
      </c>
      <c r="H38" s="42" t="s">
        <v>10</v>
      </c>
      <c r="I38" s="39" t="s">
        <v>165</v>
      </c>
      <c r="J38" s="22" t="s">
        <v>78</v>
      </c>
      <c r="K38" s="22" t="s">
        <v>66</v>
      </c>
      <c r="L38" s="25" t="s">
        <v>166</v>
      </c>
      <c r="M38" s="25" t="s">
        <v>162</v>
      </c>
      <c r="N38" s="25" t="s">
        <v>167</v>
      </c>
      <c r="O38" s="19" t="s">
        <v>164</v>
      </c>
    </row>
    <row r="39" customFormat="false" ht="26.85" hidden="false" customHeight="false" outlineLevel="0" collapsed="false">
      <c r="A39" s="39" t="n">
        <v>35</v>
      </c>
      <c r="B39" s="40" t="n">
        <v>46079</v>
      </c>
      <c r="C39" s="19" t="s">
        <v>168</v>
      </c>
      <c r="D39" s="24" t="n">
        <v>11</v>
      </c>
      <c r="E39" s="24" t="n">
        <v>11</v>
      </c>
      <c r="F39" s="41" t="s">
        <v>63</v>
      </c>
      <c r="G39" s="22" t="s">
        <v>82</v>
      </c>
      <c r="H39" s="42" t="s">
        <v>8</v>
      </c>
      <c r="I39" s="39" t="s">
        <v>169</v>
      </c>
      <c r="J39" s="22" t="s">
        <v>82</v>
      </c>
      <c r="K39" s="22" t="s">
        <v>66</v>
      </c>
      <c r="L39" s="19"/>
      <c r="M39" s="19" t="s">
        <v>170</v>
      </c>
      <c r="N39" s="25" t="s">
        <v>143</v>
      </c>
      <c r="O39" s="19" t="s">
        <v>69</v>
      </c>
    </row>
    <row r="40" customFormat="false" ht="26.85" hidden="false" customHeight="false" outlineLevel="0" collapsed="false">
      <c r="A40" s="39" t="n">
        <v>36</v>
      </c>
      <c r="B40" s="40" t="n">
        <v>46079</v>
      </c>
      <c r="C40" s="19" t="s">
        <v>171</v>
      </c>
      <c r="D40" s="24" t="n">
        <v>3666</v>
      </c>
      <c r="E40" s="24" t="n">
        <v>3666</v>
      </c>
      <c r="F40" s="22" t="s">
        <v>151</v>
      </c>
      <c r="G40" s="22"/>
      <c r="H40" s="42" t="s">
        <v>8</v>
      </c>
      <c r="I40" s="39" t="s">
        <v>172</v>
      </c>
      <c r="J40" s="22" t="s">
        <v>82</v>
      </c>
      <c r="K40" s="22" t="s">
        <v>66</v>
      </c>
      <c r="L40" s="19"/>
      <c r="M40" s="19" t="s">
        <v>173</v>
      </c>
      <c r="N40" s="25" t="s">
        <v>174</v>
      </c>
      <c r="O40" s="19" t="s">
        <v>155</v>
      </c>
    </row>
    <row r="41" customFormat="false" ht="39.55" hidden="false" customHeight="false" outlineLevel="0" collapsed="false">
      <c r="A41" s="39" t="n">
        <v>37</v>
      </c>
      <c r="B41" s="40" t="n">
        <v>46094</v>
      </c>
      <c r="C41" s="25" t="s">
        <v>175</v>
      </c>
      <c r="D41" s="24" t="n">
        <v>200</v>
      </c>
      <c r="E41" s="24" t="n">
        <v>200</v>
      </c>
      <c r="F41" s="22" t="s">
        <v>151</v>
      </c>
      <c r="G41" s="22" t="s">
        <v>78</v>
      </c>
      <c r="H41" s="42" t="s">
        <v>10</v>
      </c>
      <c r="I41" s="39" t="s">
        <v>176</v>
      </c>
      <c r="J41" s="22" t="s">
        <v>78</v>
      </c>
      <c r="K41" s="22" t="s">
        <v>66</v>
      </c>
      <c r="L41" s="19"/>
      <c r="M41" s="25" t="s">
        <v>177</v>
      </c>
      <c r="N41" s="25" t="s">
        <v>178</v>
      </c>
      <c r="O41" s="19" t="s">
        <v>155</v>
      </c>
    </row>
    <row r="42" customFormat="false" ht="26.85" hidden="false" customHeight="false" outlineLevel="0" collapsed="false">
      <c r="A42" s="39" t="n">
        <v>38</v>
      </c>
      <c r="B42" s="40" t="n">
        <v>46095</v>
      </c>
      <c r="C42" s="19" t="s">
        <v>179</v>
      </c>
      <c r="D42" s="24" t="n">
        <v>1100</v>
      </c>
      <c r="E42" s="24" t="n">
        <v>1100</v>
      </c>
      <c r="F42" s="22" t="s">
        <v>151</v>
      </c>
      <c r="G42" s="22" t="s">
        <v>78</v>
      </c>
      <c r="H42" s="42" t="s">
        <v>10</v>
      </c>
      <c r="I42" s="39" t="s">
        <v>180</v>
      </c>
      <c r="J42" s="22" t="s">
        <v>78</v>
      </c>
      <c r="K42" s="22" t="s">
        <v>66</v>
      </c>
      <c r="L42" s="19"/>
      <c r="M42" s="19" t="s">
        <v>181</v>
      </c>
      <c r="N42" s="25" t="s">
        <v>182</v>
      </c>
      <c r="O42" s="19" t="s">
        <v>155</v>
      </c>
    </row>
    <row r="43" customFormat="false" ht="26.85" hidden="false" customHeight="false" outlineLevel="0" collapsed="false">
      <c r="A43" s="39" t="n">
        <v>39</v>
      </c>
      <c r="B43" s="40" t="n">
        <v>46096</v>
      </c>
      <c r="C43" s="25" t="s">
        <v>156</v>
      </c>
      <c r="D43" s="24" t="n">
        <v>200</v>
      </c>
      <c r="E43" s="24" t="n">
        <v>200</v>
      </c>
      <c r="F43" s="22" t="s">
        <v>151</v>
      </c>
      <c r="G43" s="22" t="s">
        <v>78</v>
      </c>
      <c r="H43" s="42" t="s">
        <v>10</v>
      </c>
      <c r="I43" s="39" t="s">
        <v>183</v>
      </c>
      <c r="J43" s="22" t="s">
        <v>78</v>
      </c>
      <c r="K43" s="22" t="s">
        <v>66</v>
      </c>
      <c r="L43" s="19"/>
      <c r="M43" s="25" t="s">
        <v>158</v>
      </c>
      <c r="N43" s="25" t="s">
        <v>184</v>
      </c>
      <c r="O43" s="19" t="s">
        <v>155</v>
      </c>
    </row>
    <row r="44" customFormat="false" ht="26.85" hidden="false" customHeight="false" outlineLevel="0" collapsed="false">
      <c r="A44" s="39" t="n">
        <v>40</v>
      </c>
      <c r="B44" s="40" t="n">
        <v>46100</v>
      </c>
      <c r="C44" s="25" t="s">
        <v>185</v>
      </c>
      <c r="D44" s="24" t="n">
        <v>200</v>
      </c>
      <c r="E44" s="24" t="n">
        <v>200</v>
      </c>
      <c r="F44" s="22" t="s">
        <v>151</v>
      </c>
      <c r="G44" s="22" t="s">
        <v>78</v>
      </c>
      <c r="H44" s="42" t="s">
        <v>10</v>
      </c>
      <c r="I44" s="39" t="s">
        <v>186</v>
      </c>
      <c r="J44" s="22" t="s">
        <v>78</v>
      </c>
      <c r="K44" s="22" t="s">
        <v>66</v>
      </c>
      <c r="L44" s="19"/>
      <c r="M44" s="25" t="s">
        <v>187</v>
      </c>
      <c r="N44" s="25" t="s">
        <v>188</v>
      </c>
      <c r="O44" s="19" t="s">
        <v>155</v>
      </c>
    </row>
    <row r="45" customFormat="false" ht="39.55" hidden="false" customHeight="false" outlineLevel="0" collapsed="false">
      <c r="A45" s="39" t="n">
        <v>41</v>
      </c>
      <c r="B45" s="40" t="n">
        <v>46105</v>
      </c>
      <c r="C45" s="19" t="s">
        <v>189</v>
      </c>
      <c r="D45" s="24" t="n">
        <v>100</v>
      </c>
      <c r="E45" s="24" t="n">
        <v>100</v>
      </c>
      <c r="F45" s="22" t="s">
        <v>151</v>
      </c>
      <c r="G45" s="22" t="s">
        <v>78</v>
      </c>
      <c r="H45" s="42" t="s">
        <v>10</v>
      </c>
      <c r="I45" s="39" t="s">
        <v>190</v>
      </c>
      <c r="J45" s="22" t="s">
        <v>78</v>
      </c>
      <c r="K45" s="22" t="s">
        <v>66</v>
      </c>
      <c r="L45" s="19"/>
      <c r="M45" s="19" t="s">
        <v>191</v>
      </c>
      <c r="N45" s="25" t="s">
        <v>192</v>
      </c>
      <c r="O45" s="19" t="s">
        <v>155</v>
      </c>
    </row>
    <row r="46" customFormat="false" ht="26.85" hidden="false" customHeight="false" outlineLevel="0" collapsed="false">
      <c r="A46" s="39" t="n">
        <v>42</v>
      </c>
      <c r="B46" s="40" t="n">
        <v>46107</v>
      </c>
      <c r="C46" s="25" t="s">
        <v>193</v>
      </c>
      <c r="D46" s="24" t="n">
        <v>2880</v>
      </c>
      <c r="E46" s="24" t="n">
        <v>2880</v>
      </c>
      <c r="F46" s="22" t="s">
        <v>194</v>
      </c>
      <c r="G46" s="22"/>
      <c r="H46" s="42" t="s">
        <v>8</v>
      </c>
      <c r="I46" s="39" t="s">
        <v>195</v>
      </c>
      <c r="J46" s="22" t="s">
        <v>82</v>
      </c>
      <c r="K46" s="22" t="s">
        <v>66</v>
      </c>
      <c r="L46" s="19"/>
      <c r="M46" s="25" t="s">
        <v>196</v>
      </c>
      <c r="N46" s="25" t="s">
        <v>197</v>
      </c>
      <c r="O46" s="19" t="s">
        <v>155</v>
      </c>
    </row>
    <row r="47" customFormat="false" ht="26.85" hidden="false" customHeight="false" outlineLevel="0" collapsed="false">
      <c r="A47" s="39" t="n">
        <v>43</v>
      </c>
      <c r="B47" s="40" t="n">
        <v>46108</v>
      </c>
      <c r="C47" s="25" t="s">
        <v>185</v>
      </c>
      <c r="D47" s="24" t="n">
        <v>200</v>
      </c>
      <c r="E47" s="24" t="n">
        <v>200</v>
      </c>
      <c r="F47" s="22" t="s">
        <v>151</v>
      </c>
      <c r="G47" s="22" t="s">
        <v>78</v>
      </c>
      <c r="H47" s="42" t="s">
        <v>10</v>
      </c>
      <c r="I47" s="39" t="s">
        <v>198</v>
      </c>
      <c r="J47" s="22" t="s">
        <v>78</v>
      </c>
      <c r="K47" s="22" t="s">
        <v>66</v>
      </c>
      <c r="L47" s="19"/>
      <c r="M47" s="25" t="s">
        <v>187</v>
      </c>
      <c r="N47" s="25" t="s">
        <v>199</v>
      </c>
      <c r="O47" s="19" t="s">
        <v>155</v>
      </c>
    </row>
    <row r="48" customFormat="false" ht="26.85" hidden="false" customHeight="false" outlineLevel="0" collapsed="false">
      <c r="A48" s="39" t="n">
        <v>44</v>
      </c>
      <c r="B48" s="40" t="n">
        <v>46111</v>
      </c>
      <c r="C48" s="25" t="s">
        <v>160</v>
      </c>
      <c r="D48" s="24" t="n">
        <v>200</v>
      </c>
      <c r="E48" s="24" t="n">
        <v>200</v>
      </c>
      <c r="F48" s="22" t="s">
        <v>151</v>
      </c>
      <c r="G48" s="22" t="s">
        <v>78</v>
      </c>
      <c r="H48" s="42" t="s">
        <v>10</v>
      </c>
      <c r="I48" s="39" t="s">
        <v>200</v>
      </c>
      <c r="J48" s="22" t="s">
        <v>78</v>
      </c>
      <c r="K48" s="22" t="s">
        <v>66</v>
      </c>
      <c r="L48" s="19"/>
      <c r="M48" s="25" t="s">
        <v>162</v>
      </c>
      <c r="N48" s="25" t="s">
        <v>201</v>
      </c>
      <c r="O48" s="19" t="s">
        <v>155</v>
      </c>
    </row>
    <row r="49" customFormat="false" ht="26.85" hidden="false" customHeight="false" outlineLevel="0" collapsed="false">
      <c r="A49" s="39" t="n">
        <v>45</v>
      </c>
      <c r="B49" s="40" t="n">
        <v>46112</v>
      </c>
      <c r="C49" s="19" t="s">
        <v>202</v>
      </c>
      <c r="D49" s="24" t="n">
        <v>100</v>
      </c>
      <c r="E49" s="24" t="n">
        <v>100</v>
      </c>
      <c r="F49" s="22" t="s">
        <v>203</v>
      </c>
      <c r="G49" s="22" t="s">
        <v>204</v>
      </c>
      <c r="H49" s="42" t="s">
        <v>10</v>
      </c>
      <c r="I49" s="39" t="s">
        <v>205</v>
      </c>
      <c r="J49" s="22" t="s">
        <v>204</v>
      </c>
      <c r="K49" s="22" t="s">
        <v>206</v>
      </c>
      <c r="L49" s="19"/>
      <c r="M49" s="19" t="s">
        <v>207</v>
      </c>
      <c r="N49" s="25" t="s">
        <v>208</v>
      </c>
      <c r="O49" s="19" t="s">
        <v>155</v>
      </c>
    </row>
    <row r="50" customFormat="false" ht="26.85" hidden="false" customHeight="false" outlineLevel="0" collapsed="false">
      <c r="A50" s="39" t="n">
        <v>46</v>
      </c>
      <c r="B50" s="40" t="n">
        <v>46114</v>
      </c>
      <c r="C50" s="19" t="s">
        <v>209</v>
      </c>
      <c r="D50" s="24" t="n">
        <v>200</v>
      </c>
      <c r="E50" s="24" t="n">
        <v>200</v>
      </c>
      <c r="F50" s="22" t="s">
        <v>203</v>
      </c>
      <c r="G50" s="22"/>
      <c r="H50" s="42" t="s">
        <v>10</v>
      </c>
      <c r="I50" s="39" t="s">
        <v>210</v>
      </c>
      <c r="J50" s="22" t="s">
        <v>211</v>
      </c>
      <c r="K50" s="22" t="s">
        <v>206</v>
      </c>
      <c r="L50" s="19"/>
      <c r="M50" s="19" t="s">
        <v>212</v>
      </c>
      <c r="N50" s="25" t="s">
        <v>213</v>
      </c>
      <c r="O50" s="19" t="s">
        <v>155</v>
      </c>
    </row>
    <row r="51" customFormat="false" ht="39.55" hidden="false" customHeight="false" outlineLevel="0" collapsed="false">
      <c r="A51" s="39" t="n">
        <v>47</v>
      </c>
      <c r="B51" s="40" t="n">
        <v>46114</v>
      </c>
      <c r="C51" s="19" t="s">
        <v>214</v>
      </c>
      <c r="D51" s="24" t="n">
        <v>60600</v>
      </c>
      <c r="E51" s="24" t="n">
        <v>60600</v>
      </c>
      <c r="F51" s="22" t="s">
        <v>203</v>
      </c>
      <c r="G51" s="22"/>
      <c r="H51" s="42" t="s">
        <v>10</v>
      </c>
      <c r="I51" s="39" t="s">
        <v>215</v>
      </c>
      <c r="J51" s="22" t="s">
        <v>216</v>
      </c>
      <c r="K51" s="22" t="s">
        <v>217</v>
      </c>
      <c r="L51" s="19" t="s">
        <v>218</v>
      </c>
      <c r="M51" s="19" t="s">
        <v>219</v>
      </c>
      <c r="N51" s="25" t="s">
        <v>220</v>
      </c>
      <c r="O51" s="19" t="s">
        <v>221</v>
      </c>
    </row>
    <row r="52" customFormat="false" ht="26.85" hidden="false" customHeight="false" outlineLevel="0" collapsed="false">
      <c r="A52" s="39" t="n">
        <v>48</v>
      </c>
      <c r="B52" s="40" t="n">
        <v>46118</v>
      </c>
      <c r="C52" s="25" t="s">
        <v>160</v>
      </c>
      <c r="D52" s="24" t="n">
        <v>200</v>
      </c>
      <c r="E52" s="24" t="n">
        <v>200</v>
      </c>
      <c r="F52" s="22" t="s">
        <v>151</v>
      </c>
      <c r="G52" s="22" t="s">
        <v>78</v>
      </c>
      <c r="H52" s="42" t="s">
        <v>10</v>
      </c>
      <c r="I52" s="39" t="s">
        <v>222</v>
      </c>
      <c r="J52" s="22" t="s">
        <v>78</v>
      </c>
      <c r="K52" s="22" t="s">
        <v>66</v>
      </c>
      <c r="L52" s="19"/>
      <c r="M52" s="25" t="s">
        <v>162</v>
      </c>
      <c r="N52" s="25" t="s">
        <v>223</v>
      </c>
      <c r="O52" s="19" t="s">
        <v>155</v>
      </c>
    </row>
    <row r="53" customFormat="false" ht="26.85" hidden="false" customHeight="false" outlineLevel="0" collapsed="false">
      <c r="A53" s="39" t="n">
        <v>49</v>
      </c>
      <c r="B53" s="40" t="n">
        <v>46118</v>
      </c>
      <c r="C53" s="19" t="s">
        <v>224</v>
      </c>
      <c r="D53" s="24" t="n">
        <v>5405</v>
      </c>
      <c r="E53" s="24" t="n">
        <v>5405</v>
      </c>
      <c r="F53" s="22" t="s">
        <v>151</v>
      </c>
      <c r="G53" s="22" t="s">
        <v>82</v>
      </c>
      <c r="H53" s="42" t="s">
        <v>10</v>
      </c>
      <c r="I53" s="39" t="s">
        <v>225</v>
      </c>
      <c r="J53" s="22" t="s">
        <v>82</v>
      </c>
      <c r="K53" s="22" t="s">
        <v>66</v>
      </c>
      <c r="L53" s="25" t="s">
        <v>226</v>
      </c>
      <c r="M53" s="19" t="s">
        <v>227</v>
      </c>
      <c r="N53" s="25" t="s">
        <v>228</v>
      </c>
      <c r="O53" s="19" t="s">
        <v>155</v>
      </c>
    </row>
    <row r="54" customFormat="false" ht="26.85" hidden="false" customHeight="false" outlineLevel="0" collapsed="false">
      <c r="A54" s="39" t="n">
        <v>50</v>
      </c>
      <c r="B54" s="40" t="n">
        <v>46121</v>
      </c>
      <c r="C54" s="19" t="s">
        <v>229</v>
      </c>
      <c r="D54" s="24" t="n">
        <v>200</v>
      </c>
      <c r="E54" s="24" t="n">
        <v>200</v>
      </c>
      <c r="F54" s="22" t="s">
        <v>203</v>
      </c>
      <c r="G54" s="22"/>
      <c r="H54" s="42" t="s">
        <v>10</v>
      </c>
      <c r="I54" s="39" t="s">
        <v>230</v>
      </c>
      <c r="J54" s="22" t="s">
        <v>211</v>
      </c>
      <c r="K54" s="22" t="s">
        <v>206</v>
      </c>
      <c r="L54" s="19"/>
      <c r="M54" s="19" t="s">
        <v>231</v>
      </c>
      <c r="N54" s="25" t="s">
        <v>232</v>
      </c>
      <c r="O54" s="19" t="s">
        <v>155</v>
      </c>
    </row>
    <row r="55" customFormat="false" ht="39.55" hidden="false" customHeight="false" outlineLevel="0" collapsed="false">
      <c r="A55" s="39" t="n">
        <v>51</v>
      </c>
      <c r="B55" s="40" t="n">
        <v>46123</v>
      </c>
      <c r="C55" s="25" t="s">
        <v>233</v>
      </c>
      <c r="D55" s="24" t="n">
        <v>1980</v>
      </c>
      <c r="E55" s="24" t="n">
        <v>1980</v>
      </c>
      <c r="F55" s="22" t="s">
        <v>234</v>
      </c>
      <c r="G55" s="22" t="s">
        <v>235</v>
      </c>
      <c r="H55" s="42" t="s">
        <v>10</v>
      </c>
      <c r="I55" s="39" t="s">
        <v>236</v>
      </c>
      <c r="J55" s="22" t="s">
        <v>235</v>
      </c>
      <c r="K55" s="22" t="s">
        <v>66</v>
      </c>
      <c r="L55" s="19"/>
      <c r="M55" s="25" t="s">
        <v>237</v>
      </c>
      <c r="N55" s="19" t="s">
        <v>238</v>
      </c>
      <c r="O55" s="19" t="s">
        <v>239</v>
      </c>
    </row>
    <row r="56" customFormat="false" ht="26.85" hidden="false" customHeight="false" outlineLevel="0" collapsed="false">
      <c r="A56" s="39" t="n">
        <v>52</v>
      </c>
      <c r="B56" s="40" t="n">
        <v>46127</v>
      </c>
      <c r="C56" s="19" t="s">
        <v>240</v>
      </c>
      <c r="D56" s="24" t="n">
        <v>220</v>
      </c>
      <c r="E56" s="24" t="n">
        <v>220</v>
      </c>
      <c r="F56" s="22" t="s">
        <v>203</v>
      </c>
      <c r="G56" s="22"/>
      <c r="H56" s="42" t="s">
        <v>10</v>
      </c>
      <c r="I56" s="39" t="s">
        <v>241</v>
      </c>
      <c r="J56" s="22" t="s">
        <v>64</v>
      </c>
      <c r="K56" s="22" t="s">
        <v>206</v>
      </c>
      <c r="L56" s="19"/>
      <c r="M56" s="19" t="s">
        <v>242</v>
      </c>
      <c r="N56" s="25" t="s">
        <v>243</v>
      </c>
      <c r="O56" s="19" t="s">
        <v>155</v>
      </c>
    </row>
    <row r="57" customFormat="false" ht="26.85" hidden="false" customHeight="false" outlineLevel="0" collapsed="false">
      <c r="A57" s="39" t="n">
        <v>53</v>
      </c>
      <c r="B57" s="40" t="n">
        <v>46132</v>
      </c>
      <c r="C57" s="25" t="s">
        <v>156</v>
      </c>
      <c r="D57" s="24" t="n">
        <v>200</v>
      </c>
      <c r="E57" s="24" t="n">
        <v>200</v>
      </c>
      <c r="F57" s="22" t="s">
        <v>151</v>
      </c>
      <c r="G57" s="22" t="s">
        <v>78</v>
      </c>
      <c r="H57" s="42" t="s">
        <v>10</v>
      </c>
      <c r="I57" s="39" t="s">
        <v>244</v>
      </c>
      <c r="J57" s="22" t="s">
        <v>78</v>
      </c>
      <c r="K57" s="22" t="s">
        <v>66</v>
      </c>
      <c r="L57" s="19"/>
      <c r="M57" s="25" t="s">
        <v>158</v>
      </c>
      <c r="N57" s="25" t="s">
        <v>245</v>
      </c>
      <c r="O57" s="19" t="s">
        <v>155</v>
      </c>
    </row>
    <row r="58" customFormat="false" ht="39.55" hidden="false" customHeight="false" outlineLevel="0" collapsed="false">
      <c r="A58" s="39" t="n">
        <v>54</v>
      </c>
      <c r="B58" s="40" t="n">
        <v>46138</v>
      </c>
      <c r="C58" s="25" t="s">
        <v>175</v>
      </c>
      <c r="D58" s="24" t="n">
        <v>200</v>
      </c>
      <c r="E58" s="24" t="n">
        <v>200</v>
      </c>
      <c r="F58" s="22" t="s">
        <v>151</v>
      </c>
      <c r="G58" s="22" t="s">
        <v>78</v>
      </c>
      <c r="H58" s="42" t="s">
        <v>10</v>
      </c>
      <c r="I58" s="39" t="s">
        <v>246</v>
      </c>
      <c r="J58" s="22" t="s">
        <v>78</v>
      </c>
      <c r="K58" s="22" t="s">
        <v>66</v>
      </c>
      <c r="L58" s="19"/>
      <c r="M58" s="25" t="s">
        <v>177</v>
      </c>
      <c r="N58" s="25" t="s">
        <v>247</v>
      </c>
      <c r="O58" s="19" t="s">
        <v>155</v>
      </c>
    </row>
    <row r="59" customFormat="false" ht="26.85" hidden="false" customHeight="false" outlineLevel="0" collapsed="false">
      <c r="A59" s="39" t="n">
        <v>55</v>
      </c>
      <c r="B59" s="40" t="n">
        <v>46138</v>
      </c>
      <c r="C59" s="19" t="s">
        <v>248</v>
      </c>
      <c r="D59" s="24" t="n">
        <v>2804</v>
      </c>
      <c r="E59" s="24" t="n">
        <v>2804</v>
      </c>
      <c r="F59" s="22" t="s">
        <v>249</v>
      </c>
      <c r="G59" s="22" t="s">
        <v>204</v>
      </c>
      <c r="H59" s="42" t="s">
        <v>10</v>
      </c>
      <c r="I59" s="39" t="s">
        <v>250</v>
      </c>
      <c r="J59" s="22" t="s">
        <v>204</v>
      </c>
      <c r="K59" s="22" t="s">
        <v>66</v>
      </c>
      <c r="L59" s="19"/>
      <c r="M59" s="19" t="s">
        <v>251</v>
      </c>
      <c r="N59" s="25" t="s">
        <v>252</v>
      </c>
      <c r="O59" s="19" t="s">
        <v>155</v>
      </c>
    </row>
    <row r="60" customFormat="false" ht="39.55" hidden="false" customHeight="false" outlineLevel="0" collapsed="false">
      <c r="A60" s="39" t="n">
        <v>56</v>
      </c>
      <c r="B60" s="40" t="n">
        <v>46138</v>
      </c>
      <c r="C60" s="19" t="s">
        <v>253</v>
      </c>
      <c r="D60" s="24" t="n">
        <v>7000</v>
      </c>
      <c r="E60" s="24" t="n">
        <v>7000</v>
      </c>
      <c r="F60" s="22" t="s">
        <v>151</v>
      </c>
      <c r="G60" s="22"/>
      <c r="H60" s="42" t="s">
        <v>10</v>
      </c>
      <c r="I60" s="39" t="s">
        <v>254</v>
      </c>
      <c r="J60" s="22" t="s">
        <v>235</v>
      </c>
      <c r="K60" s="22" t="s">
        <v>66</v>
      </c>
      <c r="L60" s="19" t="s">
        <v>255</v>
      </c>
      <c r="M60" s="19" t="s">
        <v>256</v>
      </c>
      <c r="N60" s="25" t="s">
        <v>257</v>
      </c>
      <c r="O60" s="19" t="s">
        <v>155</v>
      </c>
    </row>
    <row r="61" customFormat="false" ht="26.85" hidden="false" customHeight="false" outlineLevel="0" collapsed="false">
      <c r="A61" s="39" t="n">
        <v>57</v>
      </c>
      <c r="B61" s="40" t="n">
        <v>46140</v>
      </c>
      <c r="C61" s="19" t="s">
        <v>258</v>
      </c>
      <c r="D61" s="24" t="n">
        <v>1000</v>
      </c>
      <c r="E61" s="24" t="n">
        <v>1000</v>
      </c>
      <c r="F61" s="22" t="s">
        <v>203</v>
      </c>
      <c r="G61" s="22" t="s">
        <v>82</v>
      </c>
      <c r="H61" s="42" t="s">
        <v>10</v>
      </c>
      <c r="I61" s="39" t="s">
        <v>259</v>
      </c>
      <c r="J61" s="22" t="s">
        <v>82</v>
      </c>
      <c r="K61" s="22" t="s">
        <v>66</v>
      </c>
      <c r="L61" s="19"/>
      <c r="M61" s="19" t="s">
        <v>260</v>
      </c>
      <c r="N61" s="25" t="s">
        <v>261</v>
      </c>
      <c r="O61" s="19" t="s">
        <v>262</v>
      </c>
    </row>
    <row r="62" customFormat="false" ht="26.85" hidden="false" customHeight="false" outlineLevel="0" collapsed="false">
      <c r="A62" s="39" t="n">
        <v>58</v>
      </c>
      <c r="B62" s="40" t="n">
        <v>46140</v>
      </c>
      <c r="C62" s="19" t="s">
        <v>258</v>
      </c>
      <c r="D62" s="24" t="n">
        <v>1000</v>
      </c>
      <c r="E62" s="24" t="n">
        <v>1000</v>
      </c>
      <c r="F62" s="22" t="s">
        <v>203</v>
      </c>
      <c r="G62" s="22" t="s">
        <v>82</v>
      </c>
      <c r="H62" s="42" t="s">
        <v>10</v>
      </c>
      <c r="I62" s="39" t="s">
        <v>263</v>
      </c>
      <c r="J62" s="22" t="s">
        <v>82</v>
      </c>
      <c r="K62" s="22" t="s">
        <v>66</v>
      </c>
      <c r="L62" s="19"/>
      <c r="M62" s="19" t="s">
        <v>260</v>
      </c>
      <c r="N62" s="25" t="s">
        <v>264</v>
      </c>
      <c r="O62" s="19" t="s">
        <v>262</v>
      </c>
    </row>
    <row r="63" customFormat="false" ht="52.2" hidden="false" customHeight="false" outlineLevel="0" collapsed="false">
      <c r="A63" s="39" t="n">
        <v>59</v>
      </c>
      <c r="B63" s="40" t="n">
        <v>46143</v>
      </c>
      <c r="C63" s="25" t="s">
        <v>265</v>
      </c>
      <c r="D63" s="24" t="n">
        <v>288700</v>
      </c>
      <c r="E63" s="24" t="n">
        <v>288700</v>
      </c>
      <c r="F63" s="22" t="s">
        <v>234</v>
      </c>
      <c r="G63" s="22" t="s">
        <v>78</v>
      </c>
      <c r="H63" s="42" t="s">
        <v>10</v>
      </c>
      <c r="I63" s="39" t="s">
        <v>266</v>
      </c>
      <c r="J63" s="22" t="s">
        <v>78</v>
      </c>
      <c r="K63" s="22" t="s">
        <v>66</v>
      </c>
      <c r="L63" s="19"/>
      <c r="M63" s="25" t="s">
        <v>267</v>
      </c>
      <c r="N63" s="19" t="s">
        <v>268</v>
      </c>
      <c r="O63" s="19" t="s">
        <v>269</v>
      </c>
    </row>
    <row r="64" customFormat="false" ht="26.85" hidden="false" customHeight="false" outlineLevel="0" collapsed="false">
      <c r="A64" s="39" t="n">
        <v>60</v>
      </c>
      <c r="B64" s="40" t="n">
        <v>46149</v>
      </c>
      <c r="C64" s="19" t="s">
        <v>202</v>
      </c>
      <c r="D64" s="24" t="n">
        <v>100</v>
      </c>
      <c r="E64" s="24" t="n">
        <v>100</v>
      </c>
      <c r="F64" s="22" t="s">
        <v>203</v>
      </c>
      <c r="G64" s="22" t="s">
        <v>204</v>
      </c>
      <c r="H64" s="42" t="s">
        <v>10</v>
      </c>
      <c r="I64" s="39" t="s">
        <v>270</v>
      </c>
      <c r="J64" s="22" t="s">
        <v>204</v>
      </c>
      <c r="K64" s="22" t="s">
        <v>206</v>
      </c>
      <c r="L64" s="19"/>
      <c r="M64" s="19" t="s">
        <v>207</v>
      </c>
      <c r="N64" s="25" t="s">
        <v>271</v>
      </c>
      <c r="O64" s="19" t="s">
        <v>272</v>
      </c>
    </row>
    <row r="65" customFormat="false" ht="26.85" hidden="false" customHeight="false" outlineLevel="0" collapsed="false">
      <c r="A65" s="39" t="n">
        <v>61</v>
      </c>
      <c r="B65" s="40" t="n">
        <v>46149</v>
      </c>
      <c r="C65" s="19" t="s">
        <v>202</v>
      </c>
      <c r="D65" s="24" t="n">
        <v>100</v>
      </c>
      <c r="E65" s="24" t="n">
        <v>100</v>
      </c>
      <c r="F65" s="22" t="s">
        <v>203</v>
      </c>
      <c r="G65" s="22" t="s">
        <v>204</v>
      </c>
      <c r="H65" s="42" t="s">
        <v>10</v>
      </c>
      <c r="I65" s="39" t="s">
        <v>273</v>
      </c>
      <c r="J65" s="22" t="s">
        <v>204</v>
      </c>
      <c r="K65" s="22" t="s">
        <v>206</v>
      </c>
      <c r="L65" s="19"/>
      <c r="M65" s="19" t="s">
        <v>207</v>
      </c>
      <c r="N65" s="25" t="s">
        <v>274</v>
      </c>
      <c r="O65" s="19" t="s">
        <v>272</v>
      </c>
    </row>
    <row r="66" customFormat="false" ht="26.85" hidden="false" customHeight="false" outlineLevel="0" collapsed="false">
      <c r="A66" s="39" t="n">
        <v>62</v>
      </c>
      <c r="B66" s="40" t="n">
        <v>46154</v>
      </c>
      <c r="C66" s="25" t="s">
        <v>156</v>
      </c>
      <c r="D66" s="24" t="n">
        <v>200</v>
      </c>
      <c r="E66" s="24" t="n">
        <v>200</v>
      </c>
      <c r="F66" s="22" t="s">
        <v>151</v>
      </c>
      <c r="G66" s="22" t="s">
        <v>78</v>
      </c>
      <c r="H66" s="42" t="s">
        <v>10</v>
      </c>
      <c r="I66" s="39" t="s">
        <v>275</v>
      </c>
      <c r="J66" s="22" t="s">
        <v>78</v>
      </c>
      <c r="K66" s="22" t="s">
        <v>206</v>
      </c>
      <c r="L66" s="19"/>
      <c r="M66" s="25" t="s">
        <v>158</v>
      </c>
      <c r="N66" s="25" t="s">
        <v>276</v>
      </c>
      <c r="O66" s="19" t="s">
        <v>155</v>
      </c>
    </row>
    <row r="67" customFormat="false" ht="26.85" hidden="false" customHeight="false" outlineLevel="0" collapsed="false">
      <c r="A67" s="39" t="n">
        <v>63</v>
      </c>
      <c r="B67" s="40" t="n">
        <v>46155</v>
      </c>
      <c r="C67" s="19" t="s">
        <v>202</v>
      </c>
      <c r="D67" s="24" t="n">
        <v>120</v>
      </c>
      <c r="E67" s="24" t="n">
        <v>120</v>
      </c>
      <c r="F67" s="22" t="s">
        <v>203</v>
      </c>
      <c r="G67" s="22" t="s">
        <v>204</v>
      </c>
      <c r="H67" s="42" t="s">
        <v>10</v>
      </c>
      <c r="I67" s="39" t="s">
        <v>277</v>
      </c>
      <c r="J67" s="22" t="s">
        <v>204</v>
      </c>
      <c r="K67" s="22" t="s">
        <v>206</v>
      </c>
      <c r="L67" s="19"/>
      <c r="M67" s="19" t="s">
        <v>207</v>
      </c>
      <c r="N67" s="25" t="s">
        <v>278</v>
      </c>
      <c r="O67" s="19" t="s">
        <v>155</v>
      </c>
    </row>
    <row r="68" customFormat="false" ht="26.85" hidden="false" customHeight="false" outlineLevel="0" collapsed="false">
      <c r="A68" s="39" t="n">
        <v>64</v>
      </c>
      <c r="B68" s="40" t="n">
        <v>46156</v>
      </c>
      <c r="C68" s="19" t="s">
        <v>279</v>
      </c>
      <c r="D68" s="24" t="n">
        <v>120</v>
      </c>
      <c r="E68" s="24" t="n">
        <v>120</v>
      </c>
      <c r="F68" s="22" t="s">
        <v>203</v>
      </c>
      <c r="G68" s="22"/>
      <c r="H68" s="42" t="s">
        <v>8</v>
      </c>
      <c r="I68" s="39" t="s">
        <v>280</v>
      </c>
      <c r="J68" s="22" t="s">
        <v>204</v>
      </c>
      <c r="K68" s="22" t="s">
        <v>66</v>
      </c>
      <c r="L68" s="19"/>
      <c r="M68" s="19" t="s">
        <v>281</v>
      </c>
      <c r="N68" s="25" t="s">
        <v>282</v>
      </c>
      <c r="O68" s="19" t="s">
        <v>155</v>
      </c>
    </row>
    <row r="69" customFormat="false" ht="26.85" hidden="false" customHeight="false" outlineLevel="0" collapsed="false">
      <c r="A69" s="39" t="n">
        <v>65</v>
      </c>
      <c r="B69" s="40" t="n">
        <v>46156</v>
      </c>
      <c r="C69" s="19" t="s">
        <v>283</v>
      </c>
      <c r="D69" s="24" t="n">
        <v>200</v>
      </c>
      <c r="E69" s="24" t="n">
        <v>200</v>
      </c>
      <c r="F69" s="22" t="s">
        <v>203</v>
      </c>
      <c r="G69" s="22"/>
      <c r="H69" s="42" t="s">
        <v>10</v>
      </c>
      <c r="I69" s="39" t="s">
        <v>284</v>
      </c>
      <c r="J69" s="22" t="s">
        <v>211</v>
      </c>
      <c r="K69" s="22" t="s">
        <v>206</v>
      </c>
      <c r="L69" s="19"/>
      <c r="M69" s="19" t="s">
        <v>285</v>
      </c>
      <c r="N69" s="25" t="s">
        <v>286</v>
      </c>
      <c r="O69" s="19" t="s">
        <v>155</v>
      </c>
    </row>
    <row r="70" customFormat="false" ht="26.85" hidden="false" customHeight="false" outlineLevel="0" collapsed="false">
      <c r="A70" s="39" t="n">
        <v>66</v>
      </c>
      <c r="B70" s="40" t="n">
        <v>46156</v>
      </c>
      <c r="C70" s="19" t="s">
        <v>287</v>
      </c>
      <c r="D70" s="24" t="n">
        <v>10000</v>
      </c>
      <c r="E70" s="24" t="n">
        <v>10000</v>
      </c>
      <c r="F70" s="22" t="s">
        <v>151</v>
      </c>
      <c r="G70" s="22"/>
      <c r="H70" s="42" t="s">
        <v>10</v>
      </c>
      <c r="I70" s="39" t="s">
        <v>288</v>
      </c>
      <c r="J70" s="22" t="s">
        <v>211</v>
      </c>
      <c r="K70" s="22" t="s">
        <v>206</v>
      </c>
      <c r="L70" s="19"/>
      <c r="M70" s="19" t="s">
        <v>289</v>
      </c>
      <c r="N70" s="25" t="s">
        <v>290</v>
      </c>
      <c r="O70" s="19" t="s">
        <v>155</v>
      </c>
    </row>
    <row r="71" customFormat="false" ht="26.85" hidden="false" customHeight="false" outlineLevel="0" collapsed="false">
      <c r="A71" s="39" t="n">
        <v>67</v>
      </c>
      <c r="B71" s="40" t="n">
        <v>46164</v>
      </c>
      <c r="C71" s="19" t="s">
        <v>209</v>
      </c>
      <c r="D71" s="24" t="n">
        <v>200</v>
      </c>
      <c r="E71" s="24" t="n">
        <v>200</v>
      </c>
      <c r="F71" s="22" t="s">
        <v>203</v>
      </c>
      <c r="G71" s="22"/>
      <c r="H71" s="42" t="s">
        <v>10</v>
      </c>
      <c r="I71" s="39" t="s">
        <v>291</v>
      </c>
      <c r="J71" s="22" t="s">
        <v>211</v>
      </c>
      <c r="K71" s="22" t="s">
        <v>206</v>
      </c>
      <c r="L71" s="19"/>
      <c r="M71" s="19" t="s">
        <v>212</v>
      </c>
      <c r="N71" s="25" t="s">
        <v>292</v>
      </c>
      <c r="O71" s="19" t="s">
        <v>155</v>
      </c>
    </row>
    <row r="72" customFormat="false" ht="26.85" hidden="false" customHeight="false" outlineLevel="0" collapsed="false">
      <c r="A72" s="39" t="n">
        <v>68</v>
      </c>
      <c r="B72" s="40" t="n">
        <v>46164</v>
      </c>
      <c r="C72" s="25" t="s">
        <v>156</v>
      </c>
      <c r="D72" s="24" t="n">
        <v>200</v>
      </c>
      <c r="E72" s="24" t="n">
        <v>200</v>
      </c>
      <c r="F72" s="22" t="s">
        <v>151</v>
      </c>
      <c r="G72" s="22" t="s">
        <v>78</v>
      </c>
      <c r="H72" s="42" t="s">
        <v>10</v>
      </c>
      <c r="I72" s="39" t="s">
        <v>293</v>
      </c>
      <c r="J72" s="22" t="s">
        <v>78</v>
      </c>
      <c r="K72" s="22" t="s">
        <v>206</v>
      </c>
      <c r="L72" s="19"/>
      <c r="M72" s="25" t="s">
        <v>158</v>
      </c>
      <c r="N72" s="25" t="s">
        <v>294</v>
      </c>
      <c r="O72" s="19" t="s">
        <v>155</v>
      </c>
    </row>
    <row r="73" customFormat="false" ht="26.85" hidden="false" customHeight="false" outlineLevel="0" collapsed="false">
      <c r="A73" s="39" t="n">
        <v>69</v>
      </c>
      <c r="B73" s="40" t="n">
        <v>46165</v>
      </c>
      <c r="C73" s="19" t="s">
        <v>202</v>
      </c>
      <c r="D73" s="24" t="n">
        <v>140</v>
      </c>
      <c r="E73" s="24" t="n">
        <v>140</v>
      </c>
      <c r="F73" s="22" t="s">
        <v>203</v>
      </c>
      <c r="G73" s="22" t="s">
        <v>204</v>
      </c>
      <c r="H73" s="42" t="s">
        <v>10</v>
      </c>
      <c r="I73" s="39" t="s">
        <v>295</v>
      </c>
      <c r="J73" s="22" t="s">
        <v>204</v>
      </c>
      <c r="K73" s="22" t="s">
        <v>206</v>
      </c>
      <c r="L73" s="19"/>
      <c r="M73" s="19" t="s">
        <v>207</v>
      </c>
      <c r="N73" s="25" t="s">
        <v>296</v>
      </c>
      <c r="O73" s="19" t="s">
        <v>155</v>
      </c>
    </row>
    <row r="74" customFormat="false" ht="26.85" hidden="false" customHeight="false" outlineLevel="0" collapsed="false">
      <c r="A74" s="39" t="n">
        <v>70</v>
      </c>
      <c r="B74" s="40" t="n">
        <v>46168</v>
      </c>
      <c r="C74" s="19" t="s">
        <v>297</v>
      </c>
      <c r="D74" s="24" t="n">
        <v>1800</v>
      </c>
      <c r="E74" s="24" t="n">
        <v>1800</v>
      </c>
      <c r="F74" s="22" t="s">
        <v>151</v>
      </c>
      <c r="G74" s="22"/>
      <c r="H74" s="42" t="s">
        <v>8</v>
      </c>
      <c r="I74" s="39" t="s">
        <v>298</v>
      </c>
      <c r="J74" s="22" t="s">
        <v>211</v>
      </c>
      <c r="K74" s="22" t="s">
        <v>206</v>
      </c>
      <c r="L74" s="19"/>
      <c r="M74" s="19" t="s">
        <v>299</v>
      </c>
      <c r="N74" s="25" t="s">
        <v>300</v>
      </c>
      <c r="O74" s="19" t="s">
        <v>155</v>
      </c>
    </row>
    <row r="75" customFormat="false" ht="26.85" hidden="false" customHeight="false" outlineLevel="0" collapsed="false">
      <c r="A75" s="39" t="n">
        <v>71</v>
      </c>
      <c r="B75" s="40" t="n">
        <v>46169</v>
      </c>
      <c r="C75" s="25" t="s">
        <v>156</v>
      </c>
      <c r="D75" s="24" t="n">
        <v>100</v>
      </c>
      <c r="E75" s="24" t="n">
        <v>100</v>
      </c>
      <c r="F75" s="22" t="s">
        <v>151</v>
      </c>
      <c r="G75" s="22" t="s">
        <v>78</v>
      </c>
      <c r="H75" s="42" t="s">
        <v>10</v>
      </c>
      <c r="I75" s="39" t="s">
        <v>301</v>
      </c>
      <c r="J75" s="22" t="s">
        <v>78</v>
      </c>
      <c r="K75" s="22" t="s">
        <v>206</v>
      </c>
      <c r="L75" s="19"/>
      <c r="M75" s="25" t="s">
        <v>158</v>
      </c>
      <c r="N75" s="25" t="s">
        <v>302</v>
      </c>
      <c r="O75" s="19" t="s">
        <v>155</v>
      </c>
    </row>
    <row r="76" customFormat="false" ht="26.85" hidden="false" customHeight="false" outlineLevel="0" collapsed="false">
      <c r="A76" s="39" t="n">
        <v>72</v>
      </c>
      <c r="B76" s="40" t="n">
        <v>46177</v>
      </c>
      <c r="C76" s="25" t="s">
        <v>156</v>
      </c>
      <c r="D76" s="24" t="n">
        <v>100</v>
      </c>
      <c r="E76" s="24" t="n">
        <v>100</v>
      </c>
      <c r="F76" s="22" t="s">
        <v>151</v>
      </c>
      <c r="G76" s="22"/>
      <c r="H76" s="42" t="s">
        <v>10</v>
      </c>
      <c r="I76" s="39" t="s">
        <v>303</v>
      </c>
      <c r="J76" s="22" t="s">
        <v>78</v>
      </c>
      <c r="K76" s="22" t="s">
        <v>206</v>
      </c>
      <c r="L76" s="19"/>
      <c r="M76" s="25" t="s">
        <v>158</v>
      </c>
      <c r="N76" s="25" t="s">
        <v>304</v>
      </c>
      <c r="O76" s="19" t="s">
        <v>155</v>
      </c>
    </row>
    <row r="77" customFormat="false" ht="26.85" hidden="false" customHeight="false" outlineLevel="0" collapsed="false">
      <c r="A77" s="39" t="n">
        <v>73</v>
      </c>
      <c r="B77" s="40" t="n">
        <v>46177</v>
      </c>
      <c r="C77" s="25" t="s">
        <v>156</v>
      </c>
      <c r="D77" s="24" t="n">
        <v>200</v>
      </c>
      <c r="E77" s="24" t="n">
        <v>200</v>
      </c>
      <c r="F77" s="22" t="s">
        <v>151</v>
      </c>
      <c r="G77" s="22"/>
      <c r="H77" s="42" t="s">
        <v>10</v>
      </c>
      <c r="I77" s="39" t="s">
        <v>303</v>
      </c>
      <c r="J77" s="22" t="s">
        <v>78</v>
      </c>
      <c r="K77" s="22" t="s">
        <v>206</v>
      </c>
      <c r="L77" s="19"/>
      <c r="M77" s="25" t="s">
        <v>158</v>
      </c>
      <c r="N77" s="25" t="s">
        <v>305</v>
      </c>
      <c r="O77" s="19" t="s">
        <v>155</v>
      </c>
    </row>
    <row r="78" customFormat="false" ht="26.85" hidden="false" customHeight="false" outlineLevel="0" collapsed="false">
      <c r="A78" s="39" t="n">
        <v>74</v>
      </c>
      <c r="B78" s="40" t="n">
        <v>46177</v>
      </c>
      <c r="C78" s="19" t="s">
        <v>306</v>
      </c>
      <c r="D78" s="24" t="n">
        <v>7566</v>
      </c>
      <c r="E78" s="24" t="n">
        <v>7566</v>
      </c>
      <c r="F78" s="22" t="s">
        <v>151</v>
      </c>
      <c r="G78" s="22"/>
      <c r="H78" s="42" t="s">
        <v>8</v>
      </c>
      <c r="I78" s="39" t="s">
        <v>307</v>
      </c>
      <c r="J78" s="22" t="s">
        <v>308</v>
      </c>
      <c r="K78" s="22" t="s">
        <v>66</v>
      </c>
      <c r="L78" s="19" t="s">
        <v>309</v>
      </c>
      <c r="M78" s="19" t="s">
        <v>310</v>
      </c>
      <c r="N78" s="25" t="s">
        <v>311</v>
      </c>
      <c r="O78" s="19" t="s">
        <v>155</v>
      </c>
    </row>
    <row r="79" customFormat="false" ht="26.85" hidden="false" customHeight="false" outlineLevel="0" collapsed="false">
      <c r="A79" s="39" t="n">
        <v>75</v>
      </c>
      <c r="B79" s="40" t="n">
        <v>46178</v>
      </c>
      <c r="C79" s="19" t="s">
        <v>312</v>
      </c>
      <c r="D79" s="24" t="n">
        <v>170</v>
      </c>
      <c r="E79" s="24" t="n">
        <v>170</v>
      </c>
      <c r="F79" s="22" t="s">
        <v>203</v>
      </c>
      <c r="G79" s="22"/>
      <c r="H79" s="42" t="s">
        <v>8</v>
      </c>
      <c r="I79" s="39" t="s">
        <v>313</v>
      </c>
      <c r="J79" s="22" t="s">
        <v>204</v>
      </c>
      <c r="K79" s="22" t="s">
        <v>66</v>
      </c>
      <c r="L79" s="19" t="s">
        <v>314</v>
      </c>
      <c r="M79" s="19" t="s">
        <v>315</v>
      </c>
      <c r="N79" s="25" t="s">
        <v>316</v>
      </c>
      <c r="O79" s="19" t="s">
        <v>155</v>
      </c>
    </row>
    <row r="80" customFormat="false" ht="26.85" hidden="false" customHeight="false" outlineLevel="0" collapsed="false">
      <c r="A80" s="39" t="n">
        <v>76</v>
      </c>
      <c r="B80" s="40" t="n">
        <v>46178</v>
      </c>
      <c r="C80" s="19" t="s">
        <v>92</v>
      </c>
      <c r="D80" s="24" t="n">
        <v>500</v>
      </c>
      <c r="E80" s="24" t="n">
        <v>500</v>
      </c>
      <c r="F80" s="41" t="s">
        <v>63</v>
      </c>
      <c r="G80" s="22" t="s">
        <v>71</v>
      </c>
      <c r="H80" s="42" t="s">
        <v>8</v>
      </c>
      <c r="I80" s="39" t="s">
        <v>317</v>
      </c>
      <c r="J80" s="22" t="s">
        <v>71</v>
      </c>
      <c r="K80" s="22" t="s">
        <v>66</v>
      </c>
      <c r="L80" s="19"/>
      <c r="M80" s="19" t="s">
        <v>94</v>
      </c>
      <c r="N80" s="25" t="s">
        <v>318</v>
      </c>
      <c r="O80" s="19" t="s">
        <v>69</v>
      </c>
    </row>
    <row r="81" customFormat="false" ht="26.85" hidden="false" customHeight="false" outlineLevel="0" collapsed="false">
      <c r="A81" s="39" t="n">
        <v>77</v>
      </c>
      <c r="B81" s="40" t="n">
        <v>46179</v>
      </c>
      <c r="C81" s="19" t="s">
        <v>319</v>
      </c>
      <c r="D81" s="24" t="n">
        <v>1200</v>
      </c>
      <c r="E81" s="24" t="n">
        <v>1200</v>
      </c>
      <c r="F81" s="22" t="s">
        <v>320</v>
      </c>
      <c r="G81" s="22"/>
      <c r="H81" s="42" t="s">
        <v>8</v>
      </c>
      <c r="I81" s="39" t="s">
        <v>321</v>
      </c>
      <c r="J81" s="22" t="s">
        <v>82</v>
      </c>
      <c r="K81" s="22" t="s">
        <v>322</v>
      </c>
      <c r="L81" s="19"/>
      <c r="M81" s="19" t="s">
        <v>323</v>
      </c>
      <c r="N81" s="25" t="s">
        <v>324</v>
      </c>
      <c r="O81" s="19" t="s">
        <v>155</v>
      </c>
    </row>
    <row r="82" customFormat="false" ht="26.85" hidden="false" customHeight="false" outlineLevel="0" collapsed="false">
      <c r="A82" s="39" t="n">
        <v>78</v>
      </c>
      <c r="B82" s="40" t="n">
        <v>46179</v>
      </c>
      <c r="C82" s="19" t="s">
        <v>325</v>
      </c>
      <c r="D82" s="24" t="n">
        <v>1950</v>
      </c>
      <c r="E82" s="24" t="n">
        <v>1950</v>
      </c>
      <c r="F82" s="22" t="s">
        <v>151</v>
      </c>
      <c r="G82" s="22"/>
      <c r="H82" s="42" t="s">
        <v>8</v>
      </c>
      <c r="I82" s="39" t="s">
        <v>326</v>
      </c>
      <c r="J82" s="22" t="s">
        <v>82</v>
      </c>
      <c r="K82" s="22" t="s">
        <v>66</v>
      </c>
      <c r="L82" s="19"/>
      <c r="M82" s="19" t="s">
        <v>327</v>
      </c>
      <c r="N82" s="25" t="s">
        <v>328</v>
      </c>
      <c r="O82" s="19" t="s">
        <v>155</v>
      </c>
    </row>
    <row r="83" customFormat="false" ht="26.85" hidden="false" customHeight="false" outlineLevel="0" collapsed="false">
      <c r="A83" s="39" t="n">
        <v>79</v>
      </c>
      <c r="B83" s="40" t="n">
        <v>46186</v>
      </c>
      <c r="C83" s="25" t="s">
        <v>156</v>
      </c>
      <c r="D83" s="24" t="n">
        <v>100</v>
      </c>
      <c r="E83" s="24" t="n">
        <v>100</v>
      </c>
      <c r="F83" s="22" t="s">
        <v>151</v>
      </c>
      <c r="G83" s="22"/>
      <c r="H83" s="42" t="s">
        <v>8</v>
      </c>
      <c r="I83" s="39" t="s">
        <v>329</v>
      </c>
      <c r="J83" s="22" t="s">
        <v>78</v>
      </c>
      <c r="K83" s="22" t="s">
        <v>66</v>
      </c>
      <c r="L83" s="19"/>
      <c r="M83" s="25" t="s">
        <v>158</v>
      </c>
      <c r="N83" s="25" t="s">
        <v>330</v>
      </c>
      <c r="O83" s="19" t="s">
        <v>155</v>
      </c>
    </row>
    <row r="84" customFormat="false" ht="26.85" hidden="false" customHeight="false" outlineLevel="0" collapsed="false">
      <c r="A84" s="39" t="n">
        <v>80</v>
      </c>
      <c r="B84" s="40" t="n">
        <v>46191</v>
      </c>
      <c r="C84" s="19" t="s">
        <v>331</v>
      </c>
      <c r="D84" s="24" t="n">
        <v>4000</v>
      </c>
      <c r="E84" s="24" t="n">
        <v>4000</v>
      </c>
      <c r="F84" s="22" t="s">
        <v>151</v>
      </c>
      <c r="G84" s="22"/>
      <c r="H84" s="42" t="s">
        <v>8</v>
      </c>
      <c r="I84" s="39" t="s">
        <v>332</v>
      </c>
      <c r="J84" s="22" t="s">
        <v>82</v>
      </c>
      <c r="K84" s="22" t="s">
        <v>66</v>
      </c>
      <c r="L84" s="19"/>
      <c r="M84" s="19" t="s">
        <v>333</v>
      </c>
      <c r="N84" s="25" t="s">
        <v>334</v>
      </c>
      <c r="O84" s="19" t="s">
        <v>155</v>
      </c>
    </row>
    <row r="85" customFormat="false" ht="26.85" hidden="false" customHeight="false" outlineLevel="0" collapsed="false">
      <c r="A85" s="39" t="n">
        <v>81</v>
      </c>
      <c r="B85" s="40" t="n">
        <v>46193</v>
      </c>
      <c r="C85" s="19" t="s">
        <v>335</v>
      </c>
      <c r="D85" s="24" t="n">
        <v>4250</v>
      </c>
      <c r="E85" s="24" t="n">
        <v>4250</v>
      </c>
      <c r="F85" s="22" t="s">
        <v>151</v>
      </c>
      <c r="G85" s="22"/>
      <c r="H85" s="42" t="s">
        <v>8</v>
      </c>
      <c r="I85" s="39" t="s">
        <v>336</v>
      </c>
      <c r="J85" s="22" t="s">
        <v>82</v>
      </c>
      <c r="K85" s="22" t="s">
        <v>66</v>
      </c>
      <c r="L85" s="19"/>
      <c r="M85" s="19" t="s">
        <v>337</v>
      </c>
      <c r="N85" s="25" t="s">
        <v>338</v>
      </c>
      <c r="O85" s="19" t="s">
        <v>155</v>
      </c>
    </row>
    <row r="86" customFormat="false" ht="26.85" hidden="false" customHeight="false" outlineLevel="0" collapsed="false">
      <c r="A86" s="39" t="n">
        <v>82</v>
      </c>
      <c r="B86" s="40" t="n">
        <v>46200</v>
      </c>
      <c r="C86" s="19" t="s">
        <v>339</v>
      </c>
      <c r="D86" s="24" t="n">
        <v>720</v>
      </c>
      <c r="E86" s="24" t="n">
        <v>720</v>
      </c>
      <c r="F86" s="22" t="s">
        <v>203</v>
      </c>
      <c r="G86" s="22"/>
      <c r="H86" s="42" t="s">
        <v>8</v>
      </c>
      <c r="I86" s="39" t="s">
        <v>340</v>
      </c>
      <c r="J86" s="22" t="s">
        <v>82</v>
      </c>
      <c r="K86" s="22" t="s">
        <v>66</v>
      </c>
      <c r="L86" s="19" t="s">
        <v>314</v>
      </c>
      <c r="M86" s="19" t="s">
        <v>341</v>
      </c>
      <c r="N86" s="25" t="s">
        <v>342</v>
      </c>
      <c r="O86" s="19" t="s">
        <v>155</v>
      </c>
    </row>
    <row r="87" customFormat="false" ht="26.85" hidden="false" customHeight="false" outlineLevel="0" collapsed="false">
      <c r="A87" s="39" t="n">
        <v>83</v>
      </c>
      <c r="B87" s="40" t="n">
        <v>46200</v>
      </c>
      <c r="C87" s="19" t="s">
        <v>339</v>
      </c>
      <c r="D87" s="24" t="n">
        <v>970</v>
      </c>
      <c r="E87" s="24" t="n">
        <v>970</v>
      </c>
      <c r="F87" s="22" t="s">
        <v>203</v>
      </c>
      <c r="G87" s="22"/>
      <c r="H87" s="42" t="s">
        <v>8</v>
      </c>
      <c r="I87" s="39" t="s">
        <v>343</v>
      </c>
      <c r="J87" s="22" t="s">
        <v>82</v>
      </c>
      <c r="K87" s="22" t="s">
        <v>66</v>
      </c>
      <c r="L87" s="19" t="s">
        <v>314</v>
      </c>
      <c r="M87" s="19" t="s">
        <v>341</v>
      </c>
      <c r="N87" s="25" t="s">
        <v>344</v>
      </c>
      <c r="O87" s="19" t="s">
        <v>155</v>
      </c>
    </row>
    <row r="88" customFormat="false" ht="26.85" hidden="false" customHeight="false" outlineLevel="0" collapsed="false">
      <c r="A88" s="39" t="n">
        <v>84</v>
      </c>
      <c r="B88" s="40" t="n">
        <v>46201</v>
      </c>
      <c r="C88" s="19" t="s">
        <v>345</v>
      </c>
      <c r="D88" s="24" t="n">
        <v>200</v>
      </c>
      <c r="E88" s="24" t="n">
        <v>200</v>
      </c>
      <c r="F88" s="22" t="s">
        <v>203</v>
      </c>
      <c r="G88" s="22"/>
      <c r="H88" s="42" t="s">
        <v>8</v>
      </c>
      <c r="I88" s="39" t="s">
        <v>346</v>
      </c>
      <c r="J88" s="22" t="s">
        <v>211</v>
      </c>
      <c r="K88" s="22" t="s">
        <v>206</v>
      </c>
      <c r="L88" s="19"/>
      <c r="M88" s="19" t="s">
        <v>347</v>
      </c>
      <c r="N88" s="25" t="s">
        <v>348</v>
      </c>
      <c r="O88" s="19" t="s">
        <v>155</v>
      </c>
    </row>
    <row r="89" customFormat="false" ht="26.85" hidden="false" customHeight="false" outlineLevel="0" collapsed="false">
      <c r="A89" s="39" t="n">
        <v>85</v>
      </c>
      <c r="B89" s="40" t="n">
        <v>46202</v>
      </c>
      <c r="C89" s="19" t="s">
        <v>279</v>
      </c>
      <c r="D89" s="24" t="n">
        <v>140</v>
      </c>
      <c r="E89" s="24" t="n">
        <v>140</v>
      </c>
      <c r="F89" s="22" t="s">
        <v>203</v>
      </c>
      <c r="G89" s="22"/>
      <c r="H89" s="42" t="s">
        <v>8</v>
      </c>
      <c r="I89" s="39" t="s">
        <v>349</v>
      </c>
      <c r="J89" s="22" t="s">
        <v>204</v>
      </c>
      <c r="K89" s="22" t="s">
        <v>66</v>
      </c>
      <c r="L89" s="19"/>
      <c r="M89" s="19" t="s">
        <v>281</v>
      </c>
      <c r="N89" s="25" t="s">
        <v>350</v>
      </c>
      <c r="O89" s="19" t="s">
        <v>155</v>
      </c>
    </row>
    <row r="90" customFormat="false" ht="39.55" hidden="false" customHeight="false" outlineLevel="0" collapsed="false">
      <c r="A90" s="39" t="n">
        <v>86</v>
      </c>
      <c r="B90" s="40" t="n">
        <v>46202</v>
      </c>
      <c r="C90" s="19" t="s">
        <v>351</v>
      </c>
      <c r="D90" s="24" t="n">
        <v>430</v>
      </c>
      <c r="E90" s="24" t="n">
        <v>430</v>
      </c>
      <c r="F90" s="22" t="s">
        <v>203</v>
      </c>
      <c r="G90" s="22"/>
      <c r="H90" s="42" t="s">
        <v>8</v>
      </c>
      <c r="I90" s="39" t="s">
        <v>352</v>
      </c>
      <c r="J90" s="22" t="s">
        <v>64</v>
      </c>
      <c r="K90" s="22" t="s">
        <v>66</v>
      </c>
      <c r="L90" s="19"/>
      <c r="M90" s="19" t="s">
        <v>353</v>
      </c>
      <c r="N90" s="25" t="s">
        <v>354</v>
      </c>
      <c r="O90" s="19" t="s">
        <v>155</v>
      </c>
    </row>
    <row r="91" customFormat="false" ht="26.85" hidden="false" customHeight="false" outlineLevel="0" collapsed="false">
      <c r="A91" s="39" t="n">
        <v>87</v>
      </c>
      <c r="B91" s="40" t="n">
        <v>46204</v>
      </c>
      <c r="C91" s="19" t="s">
        <v>92</v>
      </c>
      <c r="D91" s="24" t="n">
        <v>500</v>
      </c>
      <c r="E91" s="24" t="n">
        <v>500</v>
      </c>
      <c r="F91" s="41" t="s">
        <v>63</v>
      </c>
      <c r="G91" s="22" t="s">
        <v>71</v>
      </c>
      <c r="H91" s="42" t="s">
        <v>8</v>
      </c>
      <c r="I91" s="39" t="s">
        <v>355</v>
      </c>
      <c r="J91" s="22" t="s">
        <v>71</v>
      </c>
      <c r="K91" s="22" t="s">
        <v>66</v>
      </c>
      <c r="L91" s="19"/>
      <c r="M91" s="19" t="s">
        <v>94</v>
      </c>
      <c r="N91" s="25" t="s">
        <v>318</v>
      </c>
      <c r="O91" s="19" t="s">
        <v>69</v>
      </c>
    </row>
    <row r="92" customFormat="false" ht="26.85" hidden="false" customHeight="false" outlineLevel="0" collapsed="false">
      <c r="A92" s="39" t="n">
        <v>88</v>
      </c>
      <c r="B92" s="40" t="n">
        <v>46204</v>
      </c>
      <c r="C92" s="19" t="s">
        <v>356</v>
      </c>
      <c r="D92" s="24" t="n">
        <v>5500</v>
      </c>
      <c r="E92" s="24" t="n">
        <v>5500</v>
      </c>
      <c r="F92" s="41" t="s">
        <v>63</v>
      </c>
      <c r="G92" s="22" t="s">
        <v>71</v>
      </c>
      <c r="H92" s="42" t="s">
        <v>8</v>
      </c>
      <c r="I92" s="39" t="s">
        <v>357</v>
      </c>
      <c r="J92" s="22" t="s">
        <v>71</v>
      </c>
      <c r="K92" s="22" t="s">
        <v>66</v>
      </c>
      <c r="L92" s="19"/>
      <c r="M92" s="19" t="s">
        <v>358</v>
      </c>
      <c r="N92" s="25" t="s">
        <v>318</v>
      </c>
      <c r="O92" s="19" t="s">
        <v>69</v>
      </c>
    </row>
    <row r="93" customFormat="false" ht="26.85" hidden="false" customHeight="false" outlineLevel="0" collapsed="false">
      <c r="A93" s="39" t="n">
        <v>89</v>
      </c>
      <c r="B93" s="40" t="n">
        <v>46206</v>
      </c>
      <c r="C93" s="19" t="s">
        <v>359</v>
      </c>
      <c r="D93" s="24" t="n">
        <v>140</v>
      </c>
      <c r="E93" s="24" t="n">
        <v>140</v>
      </c>
      <c r="F93" s="22" t="s">
        <v>203</v>
      </c>
      <c r="G93" s="22"/>
      <c r="H93" s="42" t="s">
        <v>8</v>
      </c>
      <c r="I93" s="39" t="s">
        <v>360</v>
      </c>
      <c r="J93" s="22" t="s">
        <v>204</v>
      </c>
      <c r="K93" s="22" t="s">
        <v>66</v>
      </c>
      <c r="L93" s="19" t="s">
        <v>314</v>
      </c>
      <c r="M93" s="19" t="s">
        <v>361</v>
      </c>
      <c r="N93" s="25" t="s">
        <v>362</v>
      </c>
      <c r="O93" s="19" t="s">
        <v>155</v>
      </c>
    </row>
    <row r="94" customFormat="false" ht="26.85" hidden="false" customHeight="false" outlineLevel="0" collapsed="false">
      <c r="A94" s="39" t="n">
        <v>90</v>
      </c>
      <c r="B94" s="40" t="n">
        <v>46206</v>
      </c>
      <c r="C94" s="19" t="s">
        <v>363</v>
      </c>
      <c r="D94" s="24" t="n">
        <v>180</v>
      </c>
      <c r="E94" s="24" t="n">
        <v>180</v>
      </c>
      <c r="F94" s="22" t="s">
        <v>203</v>
      </c>
      <c r="G94" s="22"/>
      <c r="H94" s="42" t="s">
        <v>8</v>
      </c>
      <c r="I94" s="39" t="s">
        <v>364</v>
      </c>
      <c r="J94" s="22" t="s">
        <v>64</v>
      </c>
      <c r="K94" s="22" t="s">
        <v>206</v>
      </c>
      <c r="L94" s="19" t="s">
        <v>314</v>
      </c>
      <c r="M94" s="19" t="s">
        <v>365</v>
      </c>
      <c r="N94" s="25" t="s">
        <v>366</v>
      </c>
      <c r="O94" s="19" t="s">
        <v>155</v>
      </c>
    </row>
    <row r="95" customFormat="false" ht="26.85" hidden="false" customHeight="false" outlineLevel="0" collapsed="false">
      <c r="A95" s="39" t="n">
        <v>91</v>
      </c>
      <c r="B95" s="40" t="n">
        <v>46206</v>
      </c>
      <c r="C95" s="19" t="s">
        <v>367</v>
      </c>
      <c r="D95" s="24" t="n">
        <v>600</v>
      </c>
      <c r="E95" s="24" t="n">
        <v>600</v>
      </c>
      <c r="F95" s="22" t="s">
        <v>203</v>
      </c>
      <c r="G95" s="22"/>
      <c r="H95" s="42" t="s">
        <v>8</v>
      </c>
      <c r="I95" s="39" t="s">
        <v>368</v>
      </c>
      <c r="J95" s="22" t="s">
        <v>211</v>
      </c>
      <c r="K95" s="22" t="s">
        <v>206</v>
      </c>
      <c r="L95" s="19"/>
      <c r="M95" s="19" t="s">
        <v>369</v>
      </c>
      <c r="N95" s="25" t="s">
        <v>370</v>
      </c>
      <c r="O95" s="19" t="s">
        <v>155</v>
      </c>
    </row>
    <row r="96" customFormat="false" ht="26.85" hidden="false" customHeight="false" outlineLevel="0" collapsed="false">
      <c r="A96" s="39" t="n">
        <v>92</v>
      </c>
      <c r="B96" s="40" t="n">
        <v>46208</v>
      </c>
      <c r="C96" s="19" t="s">
        <v>146</v>
      </c>
      <c r="D96" s="24" t="n">
        <v>59136</v>
      </c>
      <c r="E96" s="24" t="n">
        <v>59136</v>
      </c>
      <c r="F96" s="41" t="s">
        <v>63</v>
      </c>
      <c r="G96" s="22" t="s">
        <v>71</v>
      </c>
      <c r="H96" s="42" t="s">
        <v>8</v>
      </c>
      <c r="I96" s="39" t="s">
        <v>371</v>
      </c>
      <c r="J96" s="22" t="s">
        <v>71</v>
      </c>
      <c r="K96" s="22" t="s">
        <v>66</v>
      </c>
      <c r="L96" s="19"/>
      <c r="M96" s="19" t="s">
        <v>148</v>
      </c>
      <c r="N96" s="25" t="s">
        <v>372</v>
      </c>
      <c r="O96" s="19" t="s">
        <v>69</v>
      </c>
    </row>
    <row r="97" customFormat="false" ht="26.85" hidden="false" customHeight="false" outlineLevel="0" collapsed="false">
      <c r="A97" s="39" t="n">
        <v>93</v>
      </c>
      <c r="B97" s="40" t="n">
        <v>46210</v>
      </c>
      <c r="C97" s="25" t="s">
        <v>156</v>
      </c>
      <c r="D97" s="24" t="n">
        <v>300</v>
      </c>
      <c r="E97" s="24" t="n">
        <v>300</v>
      </c>
      <c r="F97" s="22" t="s">
        <v>151</v>
      </c>
      <c r="G97" s="22"/>
      <c r="H97" s="42" t="s">
        <v>8</v>
      </c>
      <c r="I97" s="39" t="s">
        <v>373</v>
      </c>
      <c r="J97" s="22" t="s">
        <v>78</v>
      </c>
      <c r="K97" s="22" t="s">
        <v>66</v>
      </c>
      <c r="L97" s="19"/>
      <c r="M97" s="25" t="s">
        <v>158</v>
      </c>
      <c r="N97" s="25" t="s">
        <v>374</v>
      </c>
      <c r="O97" s="19" t="s">
        <v>155</v>
      </c>
    </row>
    <row r="98" customFormat="false" ht="26.85" hidden="false" customHeight="false" outlineLevel="0" collapsed="false">
      <c r="A98" s="39" t="n">
        <v>94</v>
      </c>
      <c r="B98" s="40" t="n">
        <v>46217</v>
      </c>
      <c r="C98" s="19" t="s">
        <v>375</v>
      </c>
      <c r="D98" s="24" t="n">
        <v>500</v>
      </c>
      <c r="E98" s="24" t="n">
        <v>500</v>
      </c>
      <c r="F98" s="22" t="s">
        <v>203</v>
      </c>
      <c r="G98" s="22"/>
      <c r="H98" s="42" t="s">
        <v>8</v>
      </c>
      <c r="I98" s="39" t="s">
        <v>376</v>
      </c>
      <c r="J98" s="22" t="s">
        <v>78</v>
      </c>
      <c r="K98" s="22" t="s">
        <v>66</v>
      </c>
      <c r="L98" s="19"/>
      <c r="M98" s="19" t="s">
        <v>377</v>
      </c>
      <c r="N98" s="25" t="s">
        <v>378</v>
      </c>
      <c r="O98" s="19" t="s">
        <v>379</v>
      </c>
    </row>
    <row r="99" customFormat="false" ht="26.85" hidden="false" customHeight="false" outlineLevel="0" collapsed="false">
      <c r="A99" s="39" t="n">
        <v>95</v>
      </c>
      <c r="B99" s="40" t="n">
        <v>46217</v>
      </c>
      <c r="C99" s="19" t="s">
        <v>380</v>
      </c>
      <c r="D99" s="24" t="n">
        <v>1000</v>
      </c>
      <c r="E99" s="24" t="n">
        <v>1000</v>
      </c>
      <c r="F99" s="22" t="s">
        <v>203</v>
      </c>
      <c r="G99" s="22"/>
      <c r="H99" s="42" t="s">
        <v>8</v>
      </c>
      <c r="I99" s="39" t="s">
        <v>381</v>
      </c>
      <c r="J99" s="22" t="s">
        <v>78</v>
      </c>
      <c r="K99" s="22" t="s">
        <v>66</v>
      </c>
      <c r="L99" s="19"/>
      <c r="M99" s="19" t="s">
        <v>382</v>
      </c>
      <c r="N99" s="25" t="s">
        <v>383</v>
      </c>
      <c r="O99" s="19" t="s">
        <v>379</v>
      </c>
    </row>
    <row r="100" customFormat="false" ht="26.85" hidden="false" customHeight="false" outlineLevel="0" collapsed="false">
      <c r="A100" s="39" t="n">
        <v>96</v>
      </c>
      <c r="B100" s="40" t="n">
        <v>46217</v>
      </c>
      <c r="C100" s="19" t="s">
        <v>384</v>
      </c>
      <c r="D100" s="24" t="n">
        <v>3596</v>
      </c>
      <c r="E100" s="24" t="n">
        <v>3596</v>
      </c>
      <c r="F100" s="41" t="s">
        <v>385</v>
      </c>
      <c r="G100" s="22"/>
      <c r="H100" s="42" t="s">
        <v>8</v>
      </c>
      <c r="I100" s="39" t="s">
        <v>386</v>
      </c>
      <c r="J100" s="22" t="s">
        <v>82</v>
      </c>
      <c r="K100" s="22" t="s">
        <v>66</v>
      </c>
      <c r="L100" s="19" t="s">
        <v>314</v>
      </c>
      <c r="M100" s="19" t="s">
        <v>387</v>
      </c>
      <c r="N100" s="25" t="s">
        <v>388</v>
      </c>
      <c r="O100" s="19" t="s">
        <v>379</v>
      </c>
    </row>
    <row r="101" customFormat="false" ht="26.85" hidden="false" customHeight="false" outlineLevel="0" collapsed="false">
      <c r="A101" s="39" t="n">
        <v>97</v>
      </c>
      <c r="B101" s="40" t="n">
        <v>46217</v>
      </c>
      <c r="C101" s="19" t="s">
        <v>389</v>
      </c>
      <c r="D101" s="24" t="n">
        <v>11000</v>
      </c>
      <c r="E101" s="24" t="n">
        <v>11000</v>
      </c>
      <c r="F101" s="22" t="s">
        <v>151</v>
      </c>
      <c r="G101" s="22"/>
      <c r="H101" s="42" t="s">
        <v>8</v>
      </c>
      <c r="I101" s="39" t="s">
        <v>390</v>
      </c>
      <c r="J101" s="22" t="s">
        <v>78</v>
      </c>
      <c r="K101" s="22" t="s">
        <v>66</v>
      </c>
      <c r="L101" s="19" t="s">
        <v>314</v>
      </c>
      <c r="M101" s="19" t="s">
        <v>391</v>
      </c>
      <c r="N101" s="25" t="s">
        <v>392</v>
      </c>
      <c r="O101" s="19" t="s">
        <v>379</v>
      </c>
    </row>
    <row r="102" customFormat="false" ht="26.85" hidden="false" customHeight="false" outlineLevel="0" collapsed="false">
      <c r="A102" s="39" t="n">
        <v>98</v>
      </c>
      <c r="B102" s="40" t="n">
        <v>46217</v>
      </c>
      <c r="C102" s="19" t="s">
        <v>393</v>
      </c>
      <c r="D102" s="24" t="n">
        <v>15180</v>
      </c>
      <c r="E102" s="24" t="n">
        <v>15180</v>
      </c>
      <c r="F102" s="22" t="s">
        <v>194</v>
      </c>
      <c r="G102" s="22"/>
      <c r="H102" s="42" t="s">
        <v>8</v>
      </c>
      <c r="I102" s="39" t="s">
        <v>394</v>
      </c>
      <c r="J102" s="22" t="s">
        <v>78</v>
      </c>
      <c r="K102" s="22" t="s">
        <v>66</v>
      </c>
      <c r="L102" s="19"/>
      <c r="M102" s="19" t="s">
        <v>395</v>
      </c>
      <c r="N102" s="25" t="s">
        <v>396</v>
      </c>
      <c r="O102" s="19" t="s">
        <v>397</v>
      </c>
    </row>
    <row r="103" customFormat="false" ht="26.85" hidden="false" customHeight="false" outlineLevel="0" collapsed="false">
      <c r="A103" s="39" t="n">
        <v>99</v>
      </c>
      <c r="B103" s="40" t="n">
        <v>46218</v>
      </c>
      <c r="C103" s="19" t="s">
        <v>96</v>
      </c>
      <c r="D103" s="24" t="n">
        <v>1320</v>
      </c>
      <c r="E103" s="24" t="n">
        <v>1320</v>
      </c>
      <c r="F103" s="41" t="s">
        <v>63</v>
      </c>
      <c r="G103" s="22" t="s">
        <v>78</v>
      </c>
      <c r="H103" s="42" t="s">
        <v>8</v>
      </c>
      <c r="I103" s="39" t="s">
        <v>398</v>
      </c>
      <c r="J103" s="22" t="s">
        <v>78</v>
      </c>
      <c r="K103" s="22" t="s">
        <v>66</v>
      </c>
      <c r="L103" s="19"/>
      <c r="M103" s="19" t="s">
        <v>98</v>
      </c>
      <c r="N103" s="25" t="s">
        <v>372</v>
      </c>
      <c r="O103" s="19" t="s">
        <v>69</v>
      </c>
    </row>
    <row r="104" customFormat="false" ht="26.85" hidden="false" customHeight="false" outlineLevel="0" collapsed="false">
      <c r="A104" s="39" t="n">
        <v>100</v>
      </c>
      <c r="B104" s="40" t="n">
        <v>46218</v>
      </c>
      <c r="C104" s="19" t="s">
        <v>399</v>
      </c>
      <c r="D104" s="24" t="n">
        <v>1994</v>
      </c>
      <c r="E104" s="24" t="n">
        <v>1994</v>
      </c>
      <c r="F104" s="41" t="s">
        <v>400</v>
      </c>
      <c r="G104" s="22"/>
      <c r="H104" s="42" t="s">
        <v>8</v>
      </c>
      <c r="I104" s="39" t="s">
        <v>401</v>
      </c>
      <c r="J104" s="22" t="s">
        <v>82</v>
      </c>
      <c r="K104" s="22" t="s">
        <v>66</v>
      </c>
      <c r="L104" s="19" t="s">
        <v>314</v>
      </c>
      <c r="M104" s="19" t="s">
        <v>402</v>
      </c>
      <c r="N104" s="25" t="s">
        <v>403</v>
      </c>
      <c r="O104" s="19" t="s">
        <v>379</v>
      </c>
    </row>
    <row r="105" customFormat="false" ht="26.85" hidden="false" customHeight="false" outlineLevel="0" collapsed="false">
      <c r="A105" s="39" t="n">
        <v>101</v>
      </c>
      <c r="B105" s="40" t="n">
        <v>46221</v>
      </c>
      <c r="C105" s="25" t="s">
        <v>156</v>
      </c>
      <c r="D105" s="24" t="n">
        <v>200</v>
      </c>
      <c r="E105" s="24" t="n">
        <v>200</v>
      </c>
      <c r="F105" s="22" t="s">
        <v>151</v>
      </c>
      <c r="G105" s="22"/>
      <c r="H105" s="42" t="s">
        <v>8</v>
      </c>
      <c r="I105" s="39" t="s">
        <v>404</v>
      </c>
      <c r="J105" s="22" t="s">
        <v>78</v>
      </c>
      <c r="K105" s="22" t="s">
        <v>66</v>
      </c>
      <c r="L105" s="19"/>
      <c r="M105" s="25" t="s">
        <v>158</v>
      </c>
      <c r="N105" s="25" t="s">
        <v>405</v>
      </c>
      <c r="O105" s="19" t="s">
        <v>155</v>
      </c>
    </row>
    <row r="106" customFormat="false" ht="15" hidden="false" customHeight="false" outlineLevel="0" collapsed="false">
      <c r="A106" s="39" t="n">
        <v>102</v>
      </c>
      <c r="B106" s="40" t="n">
        <v>46221</v>
      </c>
      <c r="C106" s="19" t="s">
        <v>406</v>
      </c>
      <c r="D106" s="24" t="n">
        <v>5940</v>
      </c>
      <c r="E106" s="24" t="n">
        <v>5940</v>
      </c>
      <c r="F106" s="22" t="s">
        <v>203</v>
      </c>
      <c r="G106" s="22"/>
      <c r="H106" s="42" t="s">
        <v>8</v>
      </c>
      <c r="I106" s="39" t="s">
        <v>407</v>
      </c>
      <c r="J106" s="22" t="s">
        <v>82</v>
      </c>
      <c r="K106" s="22" t="s">
        <v>66</v>
      </c>
      <c r="L106" s="19"/>
      <c r="M106" s="19" t="s">
        <v>408</v>
      </c>
      <c r="N106" s="25" t="s">
        <v>409</v>
      </c>
      <c r="O106" s="19" t="s">
        <v>155</v>
      </c>
    </row>
    <row r="107" customFormat="false" ht="26.85" hidden="false" customHeight="false" outlineLevel="0" collapsed="false">
      <c r="A107" s="39" t="n">
        <v>103</v>
      </c>
      <c r="B107" s="40" t="n">
        <v>46231</v>
      </c>
      <c r="C107" s="19" t="s">
        <v>410</v>
      </c>
      <c r="D107" s="24" t="n">
        <v>240</v>
      </c>
      <c r="E107" s="24" t="n">
        <v>240</v>
      </c>
      <c r="F107" s="22" t="s">
        <v>203</v>
      </c>
      <c r="G107" s="22"/>
      <c r="H107" s="42" t="s">
        <v>8</v>
      </c>
      <c r="I107" s="39" t="s">
        <v>411</v>
      </c>
      <c r="J107" s="22" t="s">
        <v>82</v>
      </c>
      <c r="K107" s="22" t="s">
        <v>66</v>
      </c>
      <c r="L107" s="19" t="s">
        <v>314</v>
      </c>
      <c r="M107" s="19" t="s">
        <v>412</v>
      </c>
      <c r="N107" s="25" t="s">
        <v>413</v>
      </c>
      <c r="O107" s="19" t="s">
        <v>155</v>
      </c>
    </row>
    <row r="108" customFormat="false" ht="26.85" hidden="false" customHeight="false" outlineLevel="0" collapsed="false">
      <c r="A108" s="39" t="n">
        <v>104</v>
      </c>
      <c r="B108" s="40" t="n">
        <v>46231</v>
      </c>
      <c r="C108" s="19" t="s">
        <v>414</v>
      </c>
      <c r="D108" s="24" t="n">
        <v>590</v>
      </c>
      <c r="E108" s="24" t="n">
        <v>590</v>
      </c>
      <c r="F108" s="22" t="s">
        <v>415</v>
      </c>
      <c r="G108" s="22"/>
      <c r="H108" s="42" t="s">
        <v>8</v>
      </c>
      <c r="I108" s="39" t="s">
        <v>416</v>
      </c>
      <c r="J108" s="22" t="s">
        <v>82</v>
      </c>
      <c r="K108" s="22" t="s">
        <v>66</v>
      </c>
      <c r="L108" s="19"/>
      <c r="M108" s="19" t="s">
        <v>417</v>
      </c>
      <c r="N108" s="25" t="s">
        <v>418</v>
      </c>
      <c r="O108" s="19" t="s">
        <v>155</v>
      </c>
    </row>
    <row r="109" customFormat="false" ht="26.85" hidden="false" customHeight="false" outlineLevel="0" collapsed="false">
      <c r="A109" s="39" t="n">
        <v>105</v>
      </c>
      <c r="B109" s="40" t="n">
        <v>46233</v>
      </c>
      <c r="C109" s="19" t="s">
        <v>419</v>
      </c>
      <c r="D109" s="24" t="n">
        <v>1200</v>
      </c>
      <c r="E109" s="24" t="n">
        <v>1200</v>
      </c>
      <c r="F109" s="41" t="s">
        <v>63</v>
      </c>
      <c r="G109" s="22" t="s">
        <v>78</v>
      </c>
      <c r="H109" s="42" t="s">
        <v>8</v>
      </c>
      <c r="I109" s="39" t="s">
        <v>420</v>
      </c>
      <c r="J109" s="22" t="s">
        <v>78</v>
      </c>
      <c r="K109" s="22" t="s">
        <v>66</v>
      </c>
      <c r="L109" s="19"/>
      <c r="M109" s="19" t="s">
        <v>421</v>
      </c>
      <c r="N109" s="25" t="s">
        <v>372</v>
      </c>
      <c r="O109" s="19" t="s">
        <v>69</v>
      </c>
    </row>
    <row r="110" customFormat="false" ht="26.85" hidden="false" customHeight="false" outlineLevel="0" collapsed="false">
      <c r="A110" s="39" t="n">
        <v>106</v>
      </c>
      <c r="B110" s="40" t="n">
        <v>46234</v>
      </c>
      <c r="C110" s="19" t="s">
        <v>422</v>
      </c>
      <c r="D110" s="24" t="n">
        <v>110</v>
      </c>
      <c r="E110" s="24" t="n">
        <v>110</v>
      </c>
      <c r="F110" s="22" t="s">
        <v>203</v>
      </c>
      <c r="G110" s="22"/>
      <c r="H110" s="42" t="s">
        <v>8</v>
      </c>
      <c r="I110" s="39" t="s">
        <v>423</v>
      </c>
      <c r="J110" s="22" t="s">
        <v>64</v>
      </c>
      <c r="K110" s="22" t="s">
        <v>206</v>
      </c>
      <c r="L110" s="19" t="s">
        <v>314</v>
      </c>
      <c r="M110" s="19" t="s">
        <v>424</v>
      </c>
      <c r="N110" s="25" t="s">
        <v>425</v>
      </c>
      <c r="O110" s="19" t="s">
        <v>155</v>
      </c>
    </row>
    <row r="111" customFormat="false" ht="26.85" hidden="false" customHeight="false" outlineLevel="0" collapsed="false">
      <c r="A111" s="39" t="n">
        <v>107</v>
      </c>
      <c r="B111" s="40" t="n">
        <v>46234</v>
      </c>
      <c r="C111" s="19" t="s">
        <v>426</v>
      </c>
      <c r="D111" s="24" t="n">
        <v>600</v>
      </c>
      <c r="E111" s="24" t="n">
        <v>600</v>
      </c>
      <c r="F111" s="22" t="s">
        <v>203</v>
      </c>
      <c r="G111" s="22"/>
      <c r="H111" s="42" t="s">
        <v>8</v>
      </c>
      <c r="I111" s="39" t="s">
        <v>427</v>
      </c>
      <c r="J111" s="22" t="s">
        <v>78</v>
      </c>
      <c r="K111" s="22" t="s">
        <v>66</v>
      </c>
      <c r="L111" s="19"/>
      <c r="M111" s="19" t="s">
        <v>428</v>
      </c>
      <c r="N111" s="25" t="s">
        <v>429</v>
      </c>
      <c r="O111" s="19" t="s">
        <v>155</v>
      </c>
    </row>
    <row r="112" customFormat="false" ht="26.85" hidden="false" customHeight="false" outlineLevel="0" collapsed="false">
      <c r="A112" s="39" t="n">
        <v>108</v>
      </c>
      <c r="B112" s="40" t="n">
        <v>46234</v>
      </c>
      <c r="C112" s="19" t="s">
        <v>419</v>
      </c>
      <c r="D112" s="24" t="n">
        <v>1300</v>
      </c>
      <c r="E112" s="24" t="n">
        <v>1300</v>
      </c>
      <c r="F112" s="41" t="s">
        <v>63</v>
      </c>
      <c r="G112" s="22" t="s">
        <v>78</v>
      </c>
      <c r="H112" s="42" t="s">
        <v>8</v>
      </c>
      <c r="I112" s="39" t="s">
        <v>430</v>
      </c>
      <c r="J112" s="22" t="s">
        <v>78</v>
      </c>
      <c r="K112" s="22" t="s">
        <v>66</v>
      </c>
      <c r="L112" s="19"/>
      <c r="M112" s="19" t="s">
        <v>421</v>
      </c>
      <c r="N112" s="25" t="s">
        <v>372</v>
      </c>
      <c r="O112" s="19" t="s">
        <v>69</v>
      </c>
    </row>
    <row r="113" customFormat="false" ht="26.85" hidden="false" customHeight="false" outlineLevel="0" collapsed="false">
      <c r="A113" s="39" t="n">
        <v>109</v>
      </c>
      <c r="B113" s="40" t="n">
        <v>46235</v>
      </c>
      <c r="C113" s="19" t="s">
        <v>92</v>
      </c>
      <c r="D113" s="24" t="n">
        <v>500</v>
      </c>
      <c r="E113" s="24" t="n">
        <v>500</v>
      </c>
      <c r="F113" s="41" t="s">
        <v>63</v>
      </c>
      <c r="G113" s="22" t="s">
        <v>71</v>
      </c>
      <c r="H113" s="42" t="s">
        <v>8</v>
      </c>
      <c r="I113" s="39" t="s">
        <v>431</v>
      </c>
      <c r="J113" s="22" t="s">
        <v>71</v>
      </c>
      <c r="K113" s="22" t="s">
        <v>66</v>
      </c>
      <c r="L113" s="19"/>
      <c r="M113" s="19" t="s">
        <v>94</v>
      </c>
      <c r="N113" s="25" t="s">
        <v>372</v>
      </c>
      <c r="O113" s="19" t="s">
        <v>69</v>
      </c>
    </row>
    <row r="114" customFormat="false" ht="26.85" hidden="false" customHeight="false" outlineLevel="0" collapsed="false">
      <c r="A114" s="39" t="n">
        <v>110</v>
      </c>
      <c r="B114" s="40" t="n">
        <v>46235</v>
      </c>
      <c r="C114" s="19" t="s">
        <v>356</v>
      </c>
      <c r="D114" s="24" t="n">
        <v>5500</v>
      </c>
      <c r="E114" s="24" t="n">
        <v>5500</v>
      </c>
      <c r="F114" s="41" t="s">
        <v>63</v>
      </c>
      <c r="G114" s="22" t="s">
        <v>71</v>
      </c>
      <c r="H114" s="42" t="s">
        <v>8</v>
      </c>
      <c r="I114" s="39" t="s">
        <v>432</v>
      </c>
      <c r="J114" s="22" t="s">
        <v>71</v>
      </c>
      <c r="K114" s="22" t="s">
        <v>66</v>
      </c>
      <c r="L114" s="19"/>
      <c r="M114" s="19" t="s">
        <v>358</v>
      </c>
      <c r="N114" s="25" t="s">
        <v>372</v>
      </c>
      <c r="O114" s="19" t="s">
        <v>69</v>
      </c>
    </row>
    <row r="115" customFormat="false" ht="26.85" hidden="false" customHeight="false" outlineLevel="0" collapsed="false">
      <c r="A115" s="39" t="n">
        <v>111</v>
      </c>
      <c r="B115" s="40" t="n">
        <v>46237</v>
      </c>
      <c r="C115" s="19" t="s">
        <v>433</v>
      </c>
      <c r="D115" s="24" t="n">
        <v>80</v>
      </c>
      <c r="E115" s="24" t="n">
        <v>80</v>
      </c>
      <c r="F115" s="22" t="s">
        <v>203</v>
      </c>
      <c r="G115" s="22" t="s">
        <v>204</v>
      </c>
      <c r="H115" s="42" t="s">
        <v>10</v>
      </c>
      <c r="I115" s="39" t="s">
        <v>434</v>
      </c>
      <c r="J115" s="22" t="s">
        <v>204</v>
      </c>
      <c r="K115" s="22" t="s">
        <v>66</v>
      </c>
      <c r="L115" s="19"/>
      <c r="M115" s="19" t="s">
        <v>435</v>
      </c>
      <c r="N115" s="19" t="s">
        <v>436</v>
      </c>
      <c r="O115" s="19" t="s">
        <v>155</v>
      </c>
    </row>
    <row r="116" customFormat="false" ht="26.85" hidden="false" customHeight="false" outlineLevel="0" collapsed="false">
      <c r="A116" s="39" t="n">
        <v>112</v>
      </c>
      <c r="B116" s="40" t="n">
        <v>46237</v>
      </c>
      <c r="C116" s="19" t="s">
        <v>312</v>
      </c>
      <c r="D116" s="24" t="n">
        <v>110</v>
      </c>
      <c r="E116" s="24" t="n">
        <v>110</v>
      </c>
      <c r="F116" s="22" t="s">
        <v>203</v>
      </c>
      <c r="G116" s="22" t="s">
        <v>204</v>
      </c>
      <c r="H116" s="42" t="s">
        <v>10</v>
      </c>
      <c r="I116" s="39" t="s">
        <v>437</v>
      </c>
      <c r="J116" s="22" t="s">
        <v>204</v>
      </c>
      <c r="K116" s="22" t="s">
        <v>66</v>
      </c>
      <c r="L116" s="19"/>
      <c r="M116" s="19" t="s">
        <v>315</v>
      </c>
      <c r="N116" s="19" t="s">
        <v>438</v>
      </c>
      <c r="O116" s="19" t="s">
        <v>155</v>
      </c>
    </row>
    <row r="117" customFormat="false" ht="39.55" hidden="false" customHeight="false" outlineLevel="0" collapsed="false">
      <c r="A117" s="39" t="n">
        <v>113</v>
      </c>
      <c r="B117" s="40" t="n">
        <v>46239</v>
      </c>
      <c r="C117" s="25" t="s">
        <v>439</v>
      </c>
      <c r="D117" s="24" t="n">
        <v>300</v>
      </c>
      <c r="E117" s="24" t="n">
        <v>300</v>
      </c>
      <c r="F117" s="22" t="s">
        <v>151</v>
      </c>
      <c r="G117" s="22" t="s">
        <v>78</v>
      </c>
      <c r="H117" s="42" t="s">
        <v>10</v>
      </c>
      <c r="I117" s="39" t="s">
        <v>440</v>
      </c>
      <c r="J117" s="22" t="s">
        <v>78</v>
      </c>
      <c r="K117" s="22" t="s">
        <v>66</v>
      </c>
      <c r="L117" s="19"/>
      <c r="M117" s="25" t="s">
        <v>441</v>
      </c>
      <c r="N117" s="19" t="s">
        <v>442</v>
      </c>
      <c r="O117" s="19" t="s">
        <v>155</v>
      </c>
    </row>
    <row r="118" customFormat="false" ht="26.85" hidden="false" customHeight="false" outlineLevel="0" collapsed="false">
      <c r="A118" s="39" t="n">
        <v>114</v>
      </c>
      <c r="B118" s="40" t="n">
        <v>46239</v>
      </c>
      <c r="C118" s="19" t="s">
        <v>443</v>
      </c>
      <c r="D118" s="24" t="n">
        <v>5052</v>
      </c>
      <c r="E118" s="24" t="n">
        <v>5052</v>
      </c>
      <c r="F118" s="41" t="s">
        <v>444</v>
      </c>
      <c r="G118" s="22" t="s">
        <v>82</v>
      </c>
      <c r="H118" s="42" t="s">
        <v>10</v>
      </c>
      <c r="I118" s="39" t="s">
        <v>445</v>
      </c>
      <c r="J118" s="22" t="s">
        <v>82</v>
      </c>
      <c r="K118" s="22" t="s">
        <v>66</v>
      </c>
      <c r="L118" s="19"/>
      <c r="M118" s="19" t="s">
        <v>446</v>
      </c>
      <c r="N118" s="19" t="s">
        <v>447</v>
      </c>
      <c r="O118" s="19" t="s">
        <v>155</v>
      </c>
    </row>
    <row r="119" customFormat="false" ht="26.85" hidden="false" customHeight="false" outlineLevel="0" collapsed="false">
      <c r="A119" s="39" t="n">
        <v>115</v>
      </c>
      <c r="B119" s="40" t="n">
        <v>46240</v>
      </c>
      <c r="C119" s="19" t="s">
        <v>448</v>
      </c>
      <c r="D119" s="24" t="n">
        <v>200</v>
      </c>
      <c r="E119" s="24" t="n">
        <v>200</v>
      </c>
      <c r="F119" s="22" t="s">
        <v>203</v>
      </c>
      <c r="G119" s="22" t="s">
        <v>78</v>
      </c>
      <c r="H119" s="42" t="s">
        <v>10</v>
      </c>
      <c r="I119" s="39" t="s">
        <v>449</v>
      </c>
      <c r="J119" s="22" t="s">
        <v>78</v>
      </c>
      <c r="K119" s="22" t="s">
        <v>66</v>
      </c>
      <c r="L119" s="19"/>
      <c r="M119" s="19" t="s">
        <v>450</v>
      </c>
      <c r="N119" s="19" t="s">
        <v>451</v>
      </c>
      <c r="O119" s="19" t="s">
        <v>155</v>
      </c>
    </row>
    <row r="120" customFormat="false" ht="26.85" hidden="false" customHeight="false" outlineLevel="0" collapsed="false">
      <c r="A120" s="39" t="n">
        <v>116</v>
      </c>
      <c r="B120" s="40" t="n">
        <v>46242</v>
      </c>
      <c r="C120" s="19" t="s">
        <v>433</v>
      </c>
      <c r="D120" s="24" t="n">
        <v>170</v>
      </c>
      <c r="E120" s="24" t="n">
        <v>170</v>
      </c>
      <c r="F120" s="22" t="s">
        <v>203</v>
      </c>
      <c r="G120" s="22" t="s">
        <v>64</v>
      </c>
      <c r="H120" s="42" t="s">
        <v>10</v>
      </c>
      <c r="I120" s="39" t="s">
        <v>452</v>
      </c>
      <c r="J120" s="22" t="s">
        <v>64</v>
      </c>
      <c r="K120" s="22" t="s">
        <v>206</v>
      </c>
      <c r="L120" s="19"/>
      <c r="M120" s="19" t="s">
        <v>435</v>
      </c>
      <c r="N120" s="19" t="s">
        <v>453</v>
      </c>
      <c r="O120" s="19" t="s">
        <v>155</v>
      </c>
    </row>
    <row r="121" customFormat="false" ht="26.85" hidden="false" customHeight="false" outlineLevel="0" collapsed="false">
      <c r="A121" s="39" t="n">
        <v>117</v>
      </c>
      <c r="B121" s="40" t="n">
        <v>46242</v>
      </c>
      <c r="C121" s="19" t="s">
        <v>433</v>
      </c>
      <c r="D121" s="24" t="n">
        <v>200</v>
      </c>
      <c r="E121" s="24" t="n">
        <v>200</v>
      </c>
      <c r="F121" s="22" t="s">
        <v>203</v>
      </c>
      <c r="G121" s="22" t="s">
        <v>211</v>
      </c>
      <c r="H121" s="42" t="s">
        <v>10</v>
      </c>
      <c r="I121" s="39" t="s">
        <v>454</v>
      </c>
      <c r="J121" s="22" t="s">
        <v>211</v>
      </c>
      <c r="K121" s="22" t="s">
        <v>206</v>
      </c>
      <c r="L121" s="19"/>
      <c r="M121" s="19" t="s">
        <v>435</v>
      </c>
      <c r="N121" s="19" t="s">
        <v>455</v>
      </c>
      <c r="O121" s="19" t="s">
        <v>155</v>
      </c>
    </row>
    <row r="122" customFormat="false" ht="26.85" hidden="false" customHeight="false" outlineLevel="0" collapsed="false">
      <c r="A122" s="39" t="n">
        <v>118</v>
      </c>
      <c r="B122" s="40" t="n">
        <v>46244</v>
      </c>
      <c r="C122" s="19" t="s">
        <v>419</v>
      </c>
      <c r="D122" s="24" t="n">
        <v>1400</v>
      </c>
      <c r="E122" s="24" t="n">
        <v>1400</v>
      </c>
      <c r="F122" s="41" t="s">
        <v>63</v>
      </c>
      <c r="G122" s="22" t="s">
        <v>78</v>
      </c>
      <c r="H122" s="42" t="s">
        <v>8</v>
      </c>
      <c r="I122" s="39" t="s">
        <v>456</v>
      </c>
      <c r="J122" s="22" t="s">
        <v>78</v>
      </c>
      <c r="K122" s="22" t="s">
        <v>66</v>
      </c>
      <c r="L122" s="19"/>
      <c r="M122" s="19" t="s">
        <v>421</v>
      </c>
      <c r="N122" s="25" t="s">
        <v>457</v>
      </c>
      <c r="O122" s="19" t="s">
        <v>69</v>
      </c>
    </row>
    <row r="123" customFormat="false" ht="26.85" hidden="false" customHeight="false" outlineLevel="0" collapsed="false">
      <c r="A123" s="39" t="n">
        <v>119</v>
      </c>
      <c r="B123" s="40" t="n">
        <v>46248</v>
      </c>
      <c r="C123" s="19" t="s">
        <v>458</v>
      </c>
      <c r="D123" s="24" t="n">
        <v>110</v>
      </c>
      <c r="E123" s="24" t="n">
        <v>110</v>
      </c>
      <c r="F123" s="22" t="s">
        <v>203</v>
      </c>
      <c r="G123" s="22" t="s">
        <v>64</v>
      </c>
      <c r="H123" s="42" t="s">
        <v>10</v>
      </c>
      <c r="I123" s="39" t="s">
        <v>459</v>
      </c>
      <c r="J123" s="22" t="s">
        <v>64</v>
      </c>
      <c r="K123" s="22" t="s">
        <v>206</v>
      </c>
      <c r="L123" s="19"/>
      <c r="M123" s="19" t="s">
        <v>460</v>
      </c>
      <c r="N123" s="19" t="s">
        <v>461</v>
      </c>
      <c r="O123" s="19" t="s">
        <v>155</v>
      </c>
    </row>
    <row r="124" customFormat="false" ht="25.35" hidden="false" customHeight="false" outlineLevel="0" collapsed="false">
      <c r="A124" s="39" t="n">
        <v>120</v>
      </c>
      <c r="B124" s="40" t="n">
        <v>46249</v>
      </c>
      <c r="C124" s="19" t="s">
        <v>462</v>
      </c>
      <c r="D124" s="24" t="n">
        <v>2100</v>
      </c>
      <c r="E124" s="24" t="n">
        <v>2100</v>
      </c>
      <c r="F124" s="22" t="s">
        <v>151</v>
      </c>
      <c r="G124" s="22" t="s">
        <v>82</v>
      </c>
      <c r="H124" s="42" t="s">
        <v>10</v>
      </c>
      <c r="I124" s="39" t="s">
        <v>463</v>
      </c>
      <c r="J124" s="22" t="s">
        <v>82</v>
      </c>
      <c r="K124" s="22" t="s">
        <v>66</v>
      </c>
      <c r="L124" s="19"/>
      <c r="M124" s="19" t="s">
        <v>464</v>
      </c>
      <c r="N124" s="19" t="s">
        <v>465</v>
      </c>
      <c r="O124" s="19" t="s">
        <v>155</v>
      </c>
    </row>
    <row r="125" customFormat="false" ht="25.35" hidden="false" customHeight="false" outlineLevel="0" collapsed="false">
      <c r="A125" s="39" t="n">
        <v>121</v>
      </c>
      <c r="B125" s="40" t="n">
        <v>46254</v>
      </c>
      <c r="C125" s="19" t="s">
        <v>466</v>
      </c>
      <c r="D125" s="24" t="n">
        <v>950</v>
      </c>
      <c r="E125" s="24" t="n">
        <v>950</v>
      </c>
      <c r="F125" s="22" t="s">
        <v>151</v>
      </c>
      <c r="G125" s="22" t="s">
        <v>82</v>
      </c>
      <c r="H125" s="42" t="s">
        <v>10</v>
      </c>
      <c r="I125" s="39" t="s">
        <v>467</v>
      </c>
      <c r="J125" s="22" t="s">
        <v>82</v>
      </c>
      <c r="K125" s="22" t="s">
        <v>66</v>
      </c>
      <c r="L125" s="19"/>
      <c r="M125" s="19" t="s">
        <v>468</v>
      </c>
      <c r="N125" s="19" t="s">
        <v>469</v>
      </c>
      <c r="O125" s="19" t="s">
        <v>155</v>
      </c>
    </row>
    <row r="126" customFormat="false" ht="39.55" hidden="false" customHeight="false" outlineLevel="0" collapsed="false">
      <c r="A126" s="39" t="n">
        <v>122</v>
      </c>
      <c r="B126" s="40" t="n">
        <v>46257</v>
      </c>
      <c r="C126" s="25" t="s">
        <v>439</v>
      </c>
      <c r="D126" s="24" t="n">
        <v>100</v>
      </c>
      <c r="E126" s="24" t="n">
        <v>100</v>
      </c>
      <c r="F126" s="22" t="s">
        <v>151</v>
      </c>
      <c r="G126" s="22" t="s">
        <v>78</v>
      </c>
      <c r="H126" s="42" t="s">
        <v>10</v>
      </c>
      <c r="I126" s="39" t="s">
        <v>470</v>
      </c>
      <c r="J126" s="22" t="s">
        <v>78</v>
      </c>
      <c r="K126" s="22" t="s">
        <v>66</v>
      </c>
      <c r="L126" s="19"/>
      <c r="M126" s="25" t="s">
        <v>441</v>
      </c>
      <c r="N126" s="19" t="s">
        <v>471</v>
      </c>
      <c r="O126" s="19" t="s">
        <v>155</v>
      </c>
    </row>
    <row r="127" customFormat="false" ht="39.55" hidden="false" customHeight="false" outlineLevel="0" collapsed="false">
      <c r="A127" s="39" t="n">
        <v>123</v>
      </c>
      <c r="B127" s="40" t="n">
        <v>46259</v>
      </c>
      <c r="C127" s="19" t="s">
        <v>472</v>
      </c>
      <c r="D127" s="24" t="n">
        <v>6200</v>
      </c>
      <c r="E127" s="24" t="n">
        <v>3100</v>
      </c>
      <c r="F127" s="41" t="s">
        <v>63</v>
      </c>
      <c r="G127" s="22" t="s">
        <v>78</v>
      </c>
      <c r="H127" s="42" t="s">
        <v>10</v>
      </c>
      <c r="I127" s="39" t="s">
        <v>473</v>
      </c>
      <c r="J127" s="22" t="s">
        <v>78</v>
      </c>
      <c r="K127" s="22" t="s">
        <v>66</v>
      </c>
      <c r="L127" s="25" t="s">
        <v>474</v>
      </c>
      <c r="M127" s="19" t="s">
        <v>475</v>
      </c>
      <c r="N127" s="19" t="s">
        <v>476</v>
      </c>
      <c r="O127" s="19" t="s">
        <v>477</v>
      </c>
    </row>
    <row r="128" customFormat="false" ht="26.85" hidden="false" customHeight="false" outlineLevel="0" collapsed="false">
      <c r="A128" s="39" t="n">
        <v>124</v>
      </c>
      <c r="B128" s="40" t="n">
        <v>46260</v>
      </c>
      <c r="C128" s="19" t="s">
        <v>478</v>
      </c>
      <c r="D128" s="24" t="n">
        <v>680</v>
      </c>
      <c r="E128" s="24" t="n">
        <v>680</v>
      </c>
      <c r="F128" s="22" t="s">
        <v>203</v>
      </c>
      <c r="G128" s="22" t="s">
        <v>204</v>
      </c>
      <c r="H128" s="42" t="s">
        <v>10</v>
      </c>
      <c r="I128" s="39" t="s">
        <v>479</v>
      </c>
      <c r="J128" s="22" t="s">
        <v>204</v>
      </c>
      <c r="K128" s="22" t="s">
        <v>66</v>
      </c>
      <c r="L128" s="19"/>
      <c r="M128" s="19" t="s">
        <v>480</v>
      </c>
      <c r="N128" s="19" t="s">
        <v>481</v>
      </c>
      <c r="O128" s="19" t="s">
        <v>155</v>
      </c>
    </row>
    <row r="129" customFormat="false" ht="26.85" hidden="false" customHeight="false" outlineLevel="0" collapsed="false">
      <c r="A129" s="39" t="n">
        <v>125</v>
      </c>
      <c r="B129" s="40" t="n">
        <v>46261</v>
      </c>
      <c r="C129" s="19" t="s">
        <v>482</v>
      </c>
      <c r="D129" s="24" t="n">
        <v>3100</v>
      </c>
      <c r="E129" s="24" t="n">
        <v>3100</v>
      </c>
      <c r="F129" s="22" t="s">
        <v>151</v>
      </c>
      <c r="G129" s="22" t="s">
        <v>78</v>
      </c>
      <c r="H129" s="42" t="s">
        <v>10</v>
      </c>
      <c r="I129" s="39" t="s">
        <v>483</v>
      </c>
      <c r="J129" s="22" t="s">
        <v>78</v>
      </c>
      <c r="K129" s="22" t="s">
        <v>66</v>
      </c>
      <c r="L129" s="19"/>
      <c r="M129" s="19" t="s">
        <v>484</v>
      </c>
      <c r="N129" s="19" t="s">
        <v>485</v>
      </c>
      <c r="O129" s="19" t="s">
        <v>155</v>
      </c>
    </row>
    <row r="130" customFormat="false" ht="26.85" hidden="false" customHeight="false" outlineLevel="0" collapsed="false">
      <c r="A130" s="39" t="n">
        <v>126</v>
      </c>
      <c r="B130" s="40" t="n">
        <v>46266</v>
      </c>
      <c r="C130" s="19" t="s">
        <v>92</v>
      </c>
      <c r="D130" s="24" t="n">
        <v>500</v>
      </c>
      <c r="E130" s="24" t="n">
        <v>500</v>
      </c>
      <c r="F130" s="41" t="s">
        <v>63</v>
      </c>
      <c r="G130" s="22" t="s">
        <v>71</v>
      </c>
      <c r="H130" s="42" t="s">
        <v>8</v>
      </c>
      <c r="I130" s="39" t="s">
        <v>486</v>
      </c>
      <c r="J130" s="22" t="s">
        <v>71</v>
      </c>
      <c r="K130" s="22" t="s">
        <v>66</v>
      </c>
      <c r="L130" s="19"/>
      <c r="M130" s="19" t="s">
        <v>94</v>
      </c>
      <c r="N130" s="25" t="s">
        <v>457</v>
      </c>
      <c r="O130" s="19" t="s">
        <v>69</v>
      </c>
    </row>
    <row r="131" customFormat="false" ht="26.85" hidden="false" customHeight="false" outlineLevel="0" collapsed="false">
      <c r="A131" s="39" t="n">
        <v>127</v>
      </c>
      <c r="B131" s="40" t="n">
        <v>46266</v>
      </c>
      <c r="C131" s="19" t="s">
        <v>356</v>
      </c>
      <c r="D131" s="24" t="n">
        <v>5500</v>
      </c>
      <c r="E131" s="24" t="n">
        <v>5500</v>
      </c>
      <c r="F131" s="41" t="s">
        <v>63</v>
      </c>
      <c r="G131" s="22" t="s">
        <v>71</v>
      </c>
      <c r="H131" s="42" t="s">
        <v>8</v>
      </c>
      <c r="I131" s="39" t="s">
        <v>487</v>
      </c>
      <c r="J131" s="22" t="s">
        <v>71</v>
      </c>
      <c r="K131" s="22" t="s">
        <v>66</v>
      </c>
      <c r="L131" s="19"/>
      <c r="M131" s="19" t="s">
        <v>358</v>
      </c>
      <c r="N131" s="25" t="s">
        <v>457</v>
      </c>
      <c r="O131" s="19" t="s">
        <v>69</v>
      </c>
    </row>
    <row r="132" customFormat="false" ht="26.85" hidden="false" customHeight="false" outlineLevel="0" collapsed="false">
      <c r="A132" s="39" t="n">
        <v>128</v>
      </c>
      <c r="B132" s="40" t="n">
        <v>46266</v>
      </c>
      <c r="C132" s="19" t="s">
        <v>488</v>
      </c>
      <c r="D132" s="24" t="n">
        <v>23100</v>
      </c>
      <c r="E132" s="24" t="n">
        <v>23100</v>
      </c>
      <c r="F132" s="41" t="s">
        <v>63</v>
      </c>
      <c r="G132" s="22"/>
      <c r="H132" s="42" t="s">
        <v>8</v>
      </c>
      <c r="I132" s="39" t="s">
        <v>489</v>
      </c>
      <c r="J132" s="22" t="s">
        <v>308</v>
      </c>
      <c r="K132" s="22" t="s">
        <v>66</v>
      </c>
      <c r="L132" s="19" t="s">
        <v>314</v>
      </c>
      <c r="M132" s="19" t="s">
        <v>490</v>
      </c>
      <c r="N132" s="25" t="s">
        <v>491</v>
      </c>
      <c r="O132" s="19" t="s">
        <v>492</v>
      </c>
    </row>
    <row r="133" customFormat="false" ht="26.85" hidden="false" customHeight="false" outlineLevel="0" collapsed="false">
      <c r="A133" s="39" t="n">
        <v>129</v>
      </c>
      <c r="B133" s="40" t="n">
        <v>46267</v>
      </c>
      <c r="C133" s="19" t="s">
        <v>478</v>
      </c>
      <c r="D133" s="24" t="n">
        <v>60</v>
      </c>
      <c r="E133" s="24" t="n">
        <v>60</v>
      </c>
      <c r="F133" s="22" t="s">
        <v>203</v>
      </c>
      <c r="G133" s="22"/>
      <c r="H133" s="42" t="s">
        <v>8</v>
      </c>
      <c r="I133" s="39" t="s">
        <v>493</v>
      </c>
      <c r="J133" s="22" t="s">
        <v>204</v>
      </c>
      <c r="K133" s="22" t="s">
        <v>66</v>
      </c>
      <c r="L133" s="19" t="s">
        <v>314</v>
      </c>
      <c r="M133" s="19" t="s">
        <v>480</v>
      </c>
      <c r="N133" s="25" t="s">
        <v>494</v>
      </c>
      <c r="O133" s="19" t="s">
        <v>155</v>
      </c>
    </row>
    <row r="134" customFormat="false" ht="26.85" hidden="false" customHeight="false" outlineLevel="0" collapsed="false">
      <c r="A134" s="39" t="n">
        <v>130</v>
      </c>
      <c r="B134" s="40" t="n">
        <v>46267</v>
      </c>
      <c r="C134" s="25" t="s">
        <v>185</v>
      </c>
      <c r="D134" s="24" t="n">
        <v>200</v>
      </c>
      <c r="E134" s="24" t="n">
        <v>200</v>
      </c>
      <c r="F134" s="22" t="s">
        <v>151</v>
      </c>
      <c r="G134" s="22" t="s">
        <v>78</v>
      </c>
      <c r="H134" s="42" t="s">
        <v>8</v>
      </c>
      <c r="I134" s="39" t="s">
        <v>495</v>
      </c>
      <c r="J134" s="22" t="s">
        <v>78</v>
      </c>
      <c r="K134" s="22" t="s">
        <v>66</v>
      </c>
      <c r="L134" s="19"/>
      <c r="M134" s="25" t="s">
        <v>187</v>
      </c>
      <c r="N134" s="25" t="s">
        <v>496</v>
      </c>
      <c r="O134" s="19" t="s">
        <v>497</v>
      </c>
    </row>
    <row r="135" customFormat="false" ht="50.7" hidden="false" customHeight="false" outlineLevel="0" collapsed="false">
      <c r="A135" s="39" t="n">
        <v>131</v>
      </c>
      <c r="B135" s="40" t="n">
        <v>46270</v>
      </c>
      <c r="C135" s="19" t="s">
        <v>498</v>
      </c>
      <c r="D135" s="24" t="n">
        <v>5467</v>
      </c>
      <c r="E135" s="24" t="n">
        <v>5467</v>
      </c>
      <c r="F135" s="41" t="s">
        <v>499</v>
      </c>
      <c r="G135" s="22"/>
      <c r="H135" s="42" t="s">
        <v>8</v>
      </c>
      <c r="I135" s="39" t="s">
        <v>500</v>
      </c>
      <c r="J135" s="22" t="s">
        <v>82</v>
      </c>
      <c r="K135" s="22" t="s">
        <v>66</v>
      </c>
      <c r="L135" s="19"/>
      <c r="M135" s="19" t="s">
        <v>501</v>
      </c>
      <c r="N135" s="25" t="s">
        <v>502</v>
      </c>
      <c r="O135" s="19" t="s">
        <v>492</v>
      </c>
    </row>
    <row r="136" customFormat="false" ht="26.85" hidden="false" customHeight="false" outlineLevel="0" collapsed="false">
      <c r="A136" s="39" t="n">
        <v>132</v>
      </c>
      <c r="B136" s="40" t="n">
        <v>46275</v>
      </c>
      <c r="C136" s="19" t="s">
        <v>503</v>
      </c>
      <c r="D136" s="24" t="n">
        <v>110</v>
      </c>
      <c r="E136" s="24" t="n">
        <v>110</v>
      </c>
      <c r="F136" s="22" t="s">
        <v>203</v>
      </c>
      <c r="G136" s="22"/>
      <c r="H136" s="42" t="s">
        <v>8</v>
      </c>
      <c r="I136" s="39" t="s">
        <v>504</v>
      </c>
      <c r="J136" s="22" t="s">
        <v>64</v>
      </c>
      <c r="K136" s="22" t="s">
        <v>206</v>
      </c>
      <c r="L136" s="19" t="s">
        <v>314</v>
      </c>
      <c r="M136" s="19" t="s">
        <v>505</v>
      </c>
      <c r="N136" s="25" t="s">
        <v>506</v>
      </c>
      <c r="O136" s="19" t="s">
        <v>155</v>
      </c>
    </row>
    <row r="137" customFormat="false" ht="26.85" hidden="false" customHeight="false" outlineLevel="0" collapsed="false">
      <c r="A137" s="39" t="n">
        <v>133</v>
      </c>
      <c r="B137" s="40" t="n">
        <v>46289</v>
      </c>
      <c r="C137" s="25" t="s">
        <v>185</v>
      </c>
      <c r="D137" s="24" t="n">
        <v>200</v>
      </c>
      <c r="E137" s="24" t="n">
        <v>200</v>
      </c>
      <c r="F137" s="22" t="s">
        <v>151</v>
      </c>
      <c r="G137" s="22" t="s">
        <v>78</v>
      </c>
      <c r="H137" s="42" t="s">
        <v>8</v>
      </c>
      <c r="I137" s="39" t="s">
        <v>507</v>
      </c>
      <c r="J137" s="22" t="s">
        <v>78</v>
      </c>
      <c r="K137" s="22" t="s">
        <v>66</v>
      </c>
      <c r="L137" s="19"/>
      <c r="M137" s="25" t="s">
        <v>187</v>
      </c>
      <c r="N137" s="25" t="s">
        <v>508</v>
      </c>
      <c r="O137" s="19" t="s">
        <v>155</v>
      </c>
    </row>
    <row r="138" customFormat="false" ht="15" hidden="false" customHeight="false" outlineLevel="0" collapsed="false">
      <c r="A138" s="43"/>
      <c r="B138" s="43"/>
      <c r="C138" s="44" t="s">
        <v>509</v>
      </c>
      <c r="D138" s="45" t="n">
        <f aca="false">SUBTOTAL(9,D5:D137)</f>
        <v>888356</v>
      </c>
      <c r="E138" s="45" t="n">
        <f aca="false">SUBTOTAL(9,E5:E137)</f>
        <v>885256</v>
      </c>
      <c r="F138" s="43"/>
      <c r="G138" s="43"/>
      <c r="H138" s="43"/>
      <c r="I138" s="43"/>
      <c r="J138" s="43"/>
      <c r="K138" s="43"/>
      <c r="L138" s="43"/>
      <c r="M138" s="43"/>
      <c r="N138" s="43"/>
      <c r="O138" s="43"/>
    </row>
  </sheetData>
  <autoFilter ref="A4:O137"/>
  <conditionalFormatting sqref="A5:O137">
    <cfRule type="expression" priority="2" aboveAverage="0" equalAverage="0" bottom="0" percent="0" rank="0" text="" dxfId="5">
      <formula>$H5="今回追加登録"</formula>
    </cfRule>
    <cfRule type="expression" priority="3" aboveAverage="0" equalAverage="0" bottom="0" percent="0" rank="0" text="" dxfId="6">
      <formula>$D5&lt;&gt;$E5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34"/>
    <col collapsed="false" customWidth="true" hidden="false" outlineLevel="0" max="8" min="7" style="0" width="13"/>
    <col collapsed="false" customWidth="true" hidden="false" outlineLevel="0" max="9" min="9" style="0" width="36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510</v>
      </c>
    </row>
    <row r="2" customFormat="false" ht="15" hidden="false" customHeight="false" outlineLevel="0" collapsed="false">
      <c r="A2" s="2" t="s">
        <v>511</v>
      </c>
    </row>
    <row r="4" customFormat="false" ht="31.5" hidden="false" customHeight="true" outlineLevel="0" collapsed="false">
      <c r="A4" s="37" t="s">
        <v>47</v>
      </c>
      <c r="B4" s="38" t="s">
        <v>512</v>
      </c>
      <c r="C4" s="38" t="s">
        <v>48</v>
      </c>
      <c r="D4" s="38" t="s">
        <v>513</v>
      </c>
      <c r="E4" s="38" t="s">
        <v>514</v>
      </c>
      <c r="F4" s="38" t="s">
        <v>515</v>
      </c>
      <c r="G4" s="38" t="s">
        <v>516</v>
      </c>
      <c r="H4" s="38" t="s">
        <v>514</v>
      </c>
      <c r="I4" s="38" t="s">
        <v>517</v>
      </c>
      <c r="J4" s="38" t="s">
        <v>518</v>
      </c>
    </row>
    <row r="5" customFormat="false" ht="15" hidden="false" customHeight="false" outlineLevel="0" collapsed="false">
      <c r="A5" s="39" t="n">
        <v>1</v>
      </c>
      <c r="B5" s="42" t="n">
        <v>237</v>
      </c>
      <c r="C5" s="40" t="n">
        <v>46064</v>
      </c>
      <c r="D5" s="24" t="n">
        <v>3820</v>
      </c>
      <c r="E5" s="22" t="s">
        <v>86</v>
      </c>
      <c r="F5" s="22" t="s">
        <v>519</v>
      </c>
      <c r="G5" s="39" t="n">
        <v>1084</v>
      </c>
      <c r="H5" s="22" t="s">
        <v>82</v>
      </c>
      <c r="I5" s="22" t="s">
        <v>520</v>
      </c>
      <c r="J5" s="42" t="s">
        <v>521</v>
      </c>
    </row>
    <row r="6" customFormat="false" ht="15" hidden="false" customHeight="false" outlineLevel="0" collapsed="false">
      <c r="A6" s="39" t="n">
        <v>2</v>
      </c>
      <c r="B6" s="42" t="n">
        <v>238</v>
      </c>
      <c r="C6" s="40" t="n">
        <v>46064</v>
      </c>
      <c r="D6" s="24" t="n">
        <v>5724</v>
      </c>
      <c r="E6" s="22" t="s">
        <v>86</v>
      </c>
      <c r="F6" s="22" t="s">
        <v>522</v>
      </c>
      <c r="G6" s="39" t="n">
        <v>1085</v>
      </c>
      <c r="H6" s="22" t="s">
        <v>235</v>
      </c>
      <c r="I6" s="22" t="s">
        <v>523</v>
      </c>
      <c r="J6" s="42" t="s">
        <v>521</v>
      </c>
    </row>
    <row r="7" customFormat="false" ht="15" hidden="false" customHeight="false" outlineLevel="0" collapsed="false">
      <c r="A7" s="39" t="n">
        <v>3</v>
      </c>
      <c r="B7" s="42" t="n">
        <v>241</v>
      </c>
      <c r="C7" s="40" t="n">
        <v>46067</v>
      </c>
      <c r="D7" s="24" t="n">
        <v>4950</v>
      </c>
      <c r="E7" s="22" t="s">
        <v>82</v>
      </c>
      <c r="F7" s="41" t="s">
        <v>524</v>
      </c>
      <c r="G7" s="39" t="n">
        <v>1092</v>
      </c>
      <c r="H7" s="22" t="s">
        <v>82</v>
      </c>
      <c r="I7" s="22" t="s">
        <v>525</v>
      </c>
      <c r="J7" s="42" t="s">
        <v>521</v>
      </c>
    </row>
    <row r="8" customFormat="false" ht="15" hidden="false" customHeight="false" outlineLevel="0" collapsed="false">
      <c r="A8" s="39" t="n">
        <v>4</v>
      </c>
      <c r="B8" s="42" t="n">
        <v>243</v>
      </c>
      <c r="C8" s="40" t="n">
        <v>46071</v>
      </c>
      <c r="D8" s="24" t="n">
        <v>1970</v>
      </c>
      <c r="E8" s="22" t="s">
        <v>82</v>
      </c>
      <c r="F8" s="41" t="s">
        <v>526</v>
      </c>
      <c r="G8" s="39" t="n">
        <v>1096</v>
      </c>
      <c r="H8" s="22" t="s">
        <v>82</v>
      </c>
      <c r="I8" s="22" t="s">
        <v>527</v>
      </c>
      <c r="J8" s="42" t="s">
        <v>521</v>
      </c>
    </row>
    <row r="9" customFormat="false" ht="15" hidden="false" customHeight="false" outlineLevel="0" collapsed="false">
      <c r="A9" s="39" t="n">
        <v>5</v>
      </c>
      <c r="B9" s="42" t="n">
        <v>391</v>
      </c>
      <c r="C9" s="40" t="n">
        <v>46075</v>
      </c>
      <c r="D9" s="24" t="n">
        <v>55000</v>
      </c>
      <c r="E9" s="22" t="s">
        <v>86</v>
      </c>
      <c r="F9" s="41" t="s">
        <v>528</v>
      </c>
      <c r="G9" s="39" t="n">
        <v>1101</v>
      </c>
      <c r="H9" s="22" t="s">
        <v>86</v>
      </c>
      <c r="I9" s="22" t="s">
        <v>529</v>
      </c>
      <c r="J9" s="42" t="s">
        <v>521</v>
      </c>
    </row>
    <row r="10" customFormat="false" ht="15" hidden="false" customHeight="false" outlineLevel="0" collapsed="false">
      <c r="A10" s="39" t="n">
        <v>6</v>
      </c>
      <c r="B10" s="42" t="n">
        <v>392</v>
      </c>
      <c r="C10" s="40" t="n">
        <v>46075</v>
      </c>
      <c r="D10" s="24" t="n">
        <v>39890</v>
      </c>
      <c r="E10" s="22" t="s">
        <v>86</v>
      </c>
      <c r="F10" s="22" t="s">
        <v>530</v>
      </c>
      <c r="G10" s="39" t="n">
        <v>1102</v>
      </c>
      <c r="H10" s="22" t="s">
        <v>86</v>
      </c>
      <c r="I10" s="22" t="s">
        <v>531</v>
      </c>
      <c r="J10" s="42" t="s">
        <v>521</v>
      </c>
    </row>
    <row r="11" customFormat="false" ht="15" hidden="false" customHeight="false" outlineLevel="0" collapsed="false">
      <c r="A11" s="39" t="n">
        <v>7</v>
      </c>
      <c r="B11" s="42" t="n">
        <v>397</v>
      </c>
      <c r="C11" s="40" t="n">
        <v>46082</v>
      </c>
      <c r="D11" s="24" t="n">
        <v>5731</v>
      </c>
      <c r="E11" s="22" t="s">
        <v>82</v>
      </c>
      <c r="F11" s="22" t="s">
        <v>532</v>
      </c>
      <c r="G11" s="39" t="n">
        <v>1108</v>
      </c>
      <c r="H11" s="22" t="s">
        <v>82</v>
      </c>
      <c r="I11" s="22" t="s">
        <v>533</v>
      </c>
      <c r="J11" s="42" t="s">
        <v>521</v>
      </c>
    </row>
    <row r="12" customFormat="false" ht="15" hidden="false" customHeight="false" outlineLevel="0" collapsed="false">
      <c r="A12" s="39" t="n">
        <v>8</v>
      </c>
      <c r="B12" s="42" t="n">
        <v>257</v>
      </c>
      <c r="C12" s="40" t="n">
        <v>46085</v>
      </c>
      <c r="D12" s="24" t="n">
        <v>792</v>
      </c>
      <c r="E12" s="22" t="s">
        <v>204</v>
      </c>
      <c r="F12" s="22" t="s">
        <v>534</v>
      </c>
      <c r="G12" s="39" t="n">
        <v>1110</v>
      </c>
      <c r="H12" s="22" t="s">
        <v>82</v>
      </c>
      <c r="I12" s="22" t="s">
        <v>535</v>
      </c>
      <c r="J12" s="42" t="s">
        <v>521</v>
      </c>
    </row>
    <row r="13" customFormat="false" ht="15" hidden="false" customHeight="false" outlineLevel="0" collapsed="false">
      <c r="A13" s="39" t="n">
        <v>9</v>
      </c>
      <c r="B13" s="42" t="n">
        <v>398</v>
      </c>
      <c r="C13" s="40" t="n">
        <v>46087</v>
      </c>
      <c r="D13" s="24" t="n">
        <v>3009</v>
      </c>
      <c r="E13" s="22" t="s">
        <v>204</v>
      </c>
      <c r="F13" s="41" t="s">
        <v>536</v>
      </c>
      <c r="G13" s="39" t="n">
        <v>1112</v>
      </c>
      <c r="H13" s="22" t="s">
        <v>82</v>
      </c>
      <c r="I13" s="22" t="s">
        <v>537</v>
      </c>
      <c r="J13" s="42" t="s">
        <v>521</v>
      </c>
    </row>
    <row r="14" customFormat="false" ht="15" hidden="false" customHeight="false" outlineLevel="0" collapsed="false">
      <c r="A14" s="39" t="n">
        <v>10</v>
      </c>
      <c r="B14" s="42" t="n">
        <v>393</v>
      </c>
      <c r="C14" s="40" t="n">
        <v>46088</v>
      </c>
      <c r="D14" s="24" t="n">
        <v>8457</v>
      </c>
      <c r="E14" s="22" t="s">
        <v>78</v>
      </c>
      <c r="F14" s="41" t="s">
        <v>538</v>
      </c>
      <c r="G14" s="39" t="n">
        <v>1117</v>
      </c>
      <c r="H14" s="22" t="s">
        <v>82</v>
      </c>
      <c r="I14" s="22" t="s">
        <v>539</v>
      </c>
      <c r="J14" s="42" t="s">
        <v>521</v>
      </c>
    </row>
    <row r="15" customFormat="false" ht="15" hidden="false" customHeight="false" outlineLevel="0" collapsed="false">
      <c r="A15" s="39" t="n">
        <v>11</v>
      </c>
      <c r="B15" s="42" t="n">
        <v>396</v>
      </c>
      <c r="C15" s="40" t="n">
        <v>46088</v>
      </c>
      <c r="D15" s="24" t="n">
        <v>6300</v>
      </c>
      <c r="E15" s="22" t="s">
        <v>82</v>
      </c>
      <c r="F15" s="22" t="s">
        <v>540</v>
      </c>
      <c r="G15" s="39" t="n">
        <v>1114</v>
      </c>
      <c r="H15" s="22" t="s">
        <v>82</v>
      </c>
      <c r="I15" s="22" t="s">
        <v>541</v>
      </c>
      <c r="J15" s="42" t="s">
        <v>521</v>
      </c>
    </row>
    <row r="16" customFormat="false" ht="15" hidden="false" customHeight="false" outlineLevel="0" collapsed="false">
      <c r="A16" s="39" t="n">
        <v>12</v>
      </c>
      <c r="B16" s="42" t="n">
        <v>403</v>
      </c>
      <c r="C16" s="40" t="n">
        <v>46088</v>
      </c>
      <c r="D16" s="24" t="n">
        <v>828</v>
      </c>
      <c r="E16" s="22" t="s">
        <v>204</v>
      </c>
      <c r="F16" s="41" t="s">
        <v>538</v>
      </c>
      <c r="G16" s="39" t="n">
        <v>1116</v>
      </c>
      <c r="H16" s="22" t="s">
        <v>82</v>
      </c>
      <c r="I16" s="22" t="s">
        <v>542</v>
      </c>
      <c r="J16" s="42" t="s">
        <v>521</v>
      </c>
    </row>
    <row r="17" customFormat="false" ht="15" hidden="false" customHeight="false" outlineLevel="0" collapsed="false">
      <c r="A17" s="39" t="n">
        <v>13</v>
      </c>
      <c r="B17" s="42" t="n">
        <v>404</v>
      </c>
      <c r="C17" s="40" t="n">
        <v>46088</v>
      </c>
      <c r="D17" s="24" t="n">
        <v>700</v>
      </c>
      <c r="E17" s="22" t="s">
        <v>78</v>
      </c>
      <c r="F17" s="22" t="s">
        <v>543</v>
      </c>
      <c r="G17" s="39" t="n">
        <v>1118</v>
      </c>
      <c r="H17" s="22" t="s">
        <v>78</v>
      </c>
      <c r="I17" s="22" t="s">
        <v>544</v>
      </c>
      <c r="J17" s="42" t="s">
        <v>521</v>
      </c>
    </row>
    <row r="18" customFormat="false" ht="15" hidden="false" customHeight="false" outlineLevel="0" collapsed="false">
      <c r="A18" s="39" t="n">
        <v>14</v>
      </c>
      <c r="B18" s="42" t="n">
        <v>394</v>
      </c>
      <c r="C18" s="40" t="n">
        <v>46091</v>
      </c>
      <c r="D18" s="24" t="n">
        <v>7730</v>
      </c>
      <c r="E18" s="22" t="s">
        <v>82</v>
      </c>
      <c r="F18" s="22" t="s">
        <v>545</v>
      </c>
      <c r="G18" s="39" t="n">
        <v>1123</v>
      </c>
      <c r="H18" s="22" t="s">
        <v>82</v>
      </c>
      <c r="I18" s="22" t="s">
        <v>546</v>
      </c>
      <c r="J18" s="42" t="s">
        <v>521</v>
      </c>
    </row>
    <row r="19" customFormat="false" ht="15" hidden="false" customHeight="false" outlineLevel="0" collapsed="false">
      <c r="A19" s="39" t="n">
        <v>15</v>
      </c>
      <c r="B19" s="42" t="n">
        <v>405</v>
      </c>
      <c r="C19" s="40" t="n">
        <v>46094</v>
      </c>
      <c r="D19" s="24" t="n">
        <v>536</v>
      </c>
      <c r="E19" s="22" t="s">
        <v>204</v>
      </c>
      <c r="F19" s="22" t="s">
        <v>547</v>
      </c>
      <c r="G19" s="39" t="n">
        <v>1126</v>
      </c>
      <c r="H19" s="22" t="s">
        <v>82</v>
      </c>
      <c r="I19" s="22" t="s">
        <v>548</v>
      </c>
      <c r="J19" s="42" t="s">
        <v>521</v>
      </c>
    </row>
    <row r="20" customFormat="false" ht="15" hidden="false" customHeight="false" outlineLevel="0" collapsed="false">
      <c r="A20" s="39" t="n">
        <v>16</v>
      </c>
      <c r="B20" s="42" t="n">
        <v>267</v>
      </c>
      <c r="C20" s="40" t="n">
        <v>46096</v>
      </c>
      <c r="D20" s="24" t="n">
        <v>1863</v>
      </c>
      <c r="E20" s="22" t="s">
        <v>82</v>
      </c>
      <c r="F20" s="22" t="s">
        <v>549</v>
      </c>
      <c r="G20" s="39" t="n">
        <v>1130</v>
      </c>
      <c r="H20" s="22" t="s">
        <v>82</v>
      </c>
      <c r="I20" s="22" t="s">
        <v>550</v>
      </c>
      <c r="J20" s="42" t="s">
        <v>521</v>
      </c>
    </row>
    <row r="21" customFormat="false" ht="15" hidden="false" customHeight="false" outlineLevel="0" collapsed="false">
      <c r="A21" s="39" t="n">
        <v>17</v>
      </c>
      <c r="B21" s="42" t="n">
        <v>401</v>
      </c>
      <c r="C21" s="40" t="n">
        <v>46099</v>
      </c>
      <c r="D21" s="24" t="n">
        <v>1150</v>
      </c>
      <c r="E21" s="22" t="s">
        <v>82</v>
      </c>
      <c r="F21" s="41" t="s">
        <v>551</v>
      </c>
      <c r="G21" s="39" t="n">
        <v>1132</v>
      </c>
      <c r="H21" s="22" t="s">
        <v>82</v>
      </c>
      <c r="I21" s="22" t="s">
        <v>552</v>
      </c>
      <c r="J21" s="42" t="s">
        <v>521</v>
      </c>
    </row>
    <row r="22" customFormat="false" ht="15" hidden="false" customHeight="false" outlineLevel="0" collapsed="false">
      <c r="A22" s="39" t="n">
        <v>18</v>
      </c>
      <c r="B22" s="42" t="n">
        <v>400</v>
      </c>
      <c r="C22" s="40" t="n">
        <v>46101</v>
      </c>
      <c r="D22" s="24" t="n">
        <v>1606</v>
      </c>
      <c r="E22" s="22" t="s">
        <v>82</v>
      </c>
      <c r="F22" s="41" t="s">
        <v>553</v>
      </c>
      <c r="G22" s="39" t="n">
        <v>1136</v>
      </c>
      <c r="H22" s="22" t="s">
        <v>82</v>
      </c>
      <c r="I22" s="22" t="s">
        <v>554</v>
      </c>
      <c r="J22" s="42" t="s">
        <v>521</v>
      </c>
    </row>
    <row r="23" customFormat="false" ht="15" hidden="false" customHeight="false" outlineLevel="0" collapsed="false">
      <c r="A23" s="39" t="n">
        <v>19</v>
      </c>
      <c r="B23" s="42" t="n">
        <v>402</v>
      </c>
      <c r="C23" s="40" t="n">
        <v>46101</v>
      </c>
      <c r="D23" s="24" t="n">
        <v>1000</v>
      </c>
      <c r="E23" s="22" t="s">
        <v>82</v>
      </c>
      <c r="F23" s="41" t="s">
        <v>555</v>
      </c>
      <c r="G23" s="39" t="n">
        <v>1135</v>
      </c>
      <c r="H23" s="22" t="s">
        <v>82</v>
      </c>
      <c r="I23" s="22" t="s">
        <v>556</v>
      </c>
      <c r="J23" s="42" t="s">
        <v>521</v>
      </c>
    </row>
    <row r="24" customFormat="false" ht="15" hidden="false" customHeight="false" outlineLevel="0" collapsed="false">
      <c r="A24" s="39" t="n">
        <v>20</v>
      </c>
      <c r="B24" s="42" t="n">
        <v>275</v>
      </c>
      <c r="C24" s="40" t="n">
        <v>46105</v>
      </c>
      <c r="D24" s="24" t="n">
        <v>751</v>
      </c>
      <c r="E24" s="22" t="s">
        <v>204</v>
      </c>
      <c r="F24" s="22" t="s">
        <v>534</v>
      </c>
      <c r="G24" s="39" t="n">
        <v>1139</v>
      </c>
      <c r="H24" s="22" t="s">
        <v>82</v>
      </c>
      <c r="I24" s="22" t="s">
        <v>557</v>
      </c>
      <c r="J24" s="42" t="s">
        <v>521</v>
      </c>
    </row>
    <row r="25" customFormat="false" ht="15" hidden="false" customHeight="false" outlineLevel="0" collapsed="false">
      <c r="A25" s="39" t="n">
        <v>21</v>
      </c>
      <c r="B25" s="42" t="n">
        <v>399</v>
      </c>
      <c r="C25" s="40" t="n">
        <v>46105</v>
      </c>
      <c r="D25" s="24" t="n">
        <v>1690</v>
      </c>
      <c r="E25" s="22" t="s">
        <v>82</v>
      </c>
      <c r="F25" s="22" t="s">
        <v>558</v>
      </c>
      <c r="G25" s="39" t="n">
        <v>1142</v>
      </c>
      <c r="H25" s="22" t="s">
        <v>82</v>
      </c>
      <c r="I25" s="22" t="s">
        <v>559</v>
      </c>
      <c r="J25" s="42" t="s">
        <v>521</v>
      </c>
    </row>
    <row r="26" customFormat="false" ht="15" hidden="false" customHeight="false" outlineLevel="0" collapsed="false">
      <c r="A26" s="39" t="n">
        <v>22</v>
      </c>
      <c r="B26" s="42" t="n">
        <v>395</v>
      </c>
      <c r="C26" s="40" t="n">
        <v>46106</v>
      </c>
      <c r="D26" s="24" t="n">
        <v>6300</v>
      </c>
      <c r="E26" s="22" t="s">
        <v>560</v>
      </c>
      <c r="F26" s="41" t="s">
        <v>561</v>
      </c>
      <c r="G26" s="39" t="n">
        <v>1143</v>
      </c>
      <c r="H26" s="22" t="s">
        <v>82</v>
      </c>
      <c r="I26" s="22" t="s">
        <v>562</v>
      </c>
      <c r="J26" s="42" t="s">
        <v>521</v>
      </c>
    </row>
    <row r="27" customFormat="false" ht="15" hidden="false" customHeight="false" outlineLevel="0" collapsed="false">
      <c r="A27" s="39" t="n">
        <v>23</v>
      </c>
      <c r="B27" s="42" t="n">
        <v>304</v>
      </c>
      <c r="C27" s="40" t="n">
        <v>46111</v>
      </c>
      <c r="D27" s="24" t="n">
        <v>5481</v>
      </c>
      <c r="E27" s="22" t="s">
        <v>204</v>
      </c>
      <c r="F27" s="22" t="s">
        <v>563</v>
      </c>
      <c r="G27" s="39" t="n">
        <v>1154</v>
      </c>
      <c r="H27" s="22" t="s">
        <v>204</v>
      </c>
      <c r="I27" s="22" t="s">
        <v>564</v>
      </c>
      <c r="J27" s="42" t="s">
        <v>521</v>
      </c>
    </row>
    <row r="28" customFormat="false" ht="15" hidden="false" customHeight="false" outlineLevel="0" collapsed="false">
      <c r="A28" s="39" t="n">
        <v>24</v>
      </c>
      <c r="B28" s="42" t="n">
        <v>288</v>
      </c>
      <c r="C28" s="40" t="n">
        <v>46112</v>
      </c>
      <c r="D28" s="24" t="n">
        <v>3454</v>
      </c>
      <c r="E28" s="22" t="s">
        <v>82</v>
      </c>
      <c r="F28" s="22" t="s">
        <v>565</v>
      </c>
      <c r="G28" s="39" t="n">
        <v>1156</v>
      </c>
      <c r="H28" s="22" t="s">
        <v>82</v>
      </c>
      <c r="I28" s="22" t="s">
        <v>566</v>
      </c>
      <c r="J28" s="42" t="s">
        <v>521</v>
      </c>
    </row>
    <row r="29" customFormat="false" ht="15" hidden="false" customHeight="false" outlineLevel="0" collapsed="false">
      <c r="A29" s="39" t="n">
        <v>25</v>
      </c>
      <c r="B29" s="42" t="n">
        <v>270</v>
      </c>
      <c r="C29" s="40" t="n">
        <v>46114</v>
      </c>
      <c r="D29" s="24" t="n">
        <v>710</v>
      </c>
      <c r="E29" s="22" t="s">
        <v>82</v>
      </c>
      <c r="F29" s="22" t="s">
        <v>567</v>
      </c>
      <c r="G29" s="39" t="n">
        <v>1161</v>
      </c>
      <c r="H29" s="22" t="s">
        <v>82</v>
      </c>
      <c r="I29" s="22" t="s">
        <v>568</v>
      </c>
      <c r="J29" s="42" t="s">
        <v>569</v>
      </c>
    </row>
    <row r="30" customFormat="false" ht="15" hidden="false" customHeight="false" outlineLevel="0" collapsed="false">
      <c r="A30" s="39" t="n">
        <v>26</v>
      </c>
      <c r="B30" s="42" t="n">
        <v>271</v>
      </c>
      <c r="C30" s="40" t="n">
        <v>46114</v>
      </c>
      <c r="D30" s="24" t="n">
        <v>1980</v>
      </c>
      <c r="E30" s="22" t="s">
        <v>235</v>
      </c>
      <c r="F30" s="22" t="s">
        <v>570</v>
      </c>
      <c r="G30" s="39" t="n">
        <v>1160</v>
      </c>
      <c r="H30" s="22" t="s">
        <v>235</v>
      </c>
      <c r="I30" s="22" t="s">
        <v>571</v>
      </c>
      <c r="J30" s="42" t="s">
        <v>521</v>
      </c>
    </row>
    <row r="31" customFormat="false" ht="15" hidden="false" customHeight="false" outlineLevel="0" collapsed="false">
      <c r="A31" s="39" t="n">
        <v>27</v>
      </c>
      <c r="B31" s="42" t="n">
        <v>302</v>
      </c>
      <c r="C31" s="40" t="n">
        <v>46118</v>
      </c>
      <c r="D31" s="24" t="n">
        <v>48070</v>
      </c>
      <c r="E31" s="22" t="s">
        <v>86</v>
      </c>
      <c r="F31" s="22" t="s">
        <v>572</v>
      </c>
      <c r="G31" s="39" t="n">
        <v>1166</v>
      </c>
      <c r="H31" s="22" t="s">
        <v>86</v>
      </c>
      <c r="I31" s="22" t="s">
        <v>573</v>
      </c>
      <c r="J31" s="42" t="s">
        <v>521</v>
      </c>
    </row>
    <row r="32" customFormat="false" ht="15" hidden="false" customHeight="false" outlineLevel="0" collapsed="false">
      <c r="A32" s="39" t="n">
        <v>28</v>
      </c>
      <c r="B32" s="42" t="n">
        <v>291</v>
      </c>
      <c r="C32" s="40" t="n">
        <v>46121</v>
      </c>
      <c r="D32" s="24" t="n">
        <v>950</v>
      </c>
      <c r="E32" s="22" t="s">
        <v>560</v>
      </c>
      <c r="F32" s="22" t="s">
        <v>574</v>
      </c>
      <c r="G32" s="39" t="n">
        <v>1169</v>
      </c>
      <c r="H32" s="22" t="s">
        <v>71</v>
      </c>
      <c r="I32" s="22" t="s">
        <v>575</v>
      </c>
      <c r="J32" s="42" t="s">
        <v>521</v>
      </c>
    </row>
    <row r="33" customFormat="false" ht="15" hidden="false" customHeight="false" outlineLevel="0" collapsed="false">
      <c r="A33" s="39" t="n">
        <v>29</v>
      </c>
      <c r="B33" s="42" t="n">
        <v>309</v>
      </c>
      <c r="C33" s="40" t="n">
        <v>46126</v>
      </c>
      <c r="D33" s="24" t="n">
        <v>17000</v>
      </c>
      <c r="E33" s="22" t="s">
        <v>82</v>
      </c>
      <c r="F33" s="41" t="s">
        <v>576</v>
      </c>
      <c r="G33" s="39" t="n">
        <v>1171</v>
      </c>
      <c r="H33" s="22" t="s">
        <v>86</v>
      </c>
      <c r="I33" s="22" t="s">
        <v>577</v>
      </c>
      <c r="J33" s="42" t="s">
        <v>521</v>
      </c>
    </row>
    <row r="34" customFormat="false" ht="15" hidden="false" customHeight="false" outlineLevel="0" collapsed="false">
      <c r="A34" s="39" t="n">
        <v>30</v>
      </c>
      <c r="B34" s="42" t="n">
        <v>310</v>
      </c>
      <c r="C34" s="40" t="n">
        <v>46127</v>
      </c>
      <c r="D34" s="24" t="n">
        <v>740</v>
      </c>
      <c r="E34" s="22" t="s">
        <v>82</v>
      </c>
      <c r="F34" s="41" t="s">
        <v>578</v>
      </c>
      <c r="G34" s="39" t="n">
        <v>1174</v>
      </c>
      <c r="H34" s="22" t="s">
        <v>82</v>
      </c>
      <c r="I34" s="22" t="s">
        <v>579</v>
      </c>
      <c r="J34" s="42" t="s">
        <v>521</v>
      </c>
    </row>
    <row r="35" customFormat="false" ht="15" hidden="false" customHeight="false" outlineLevel="0" collapsed="false">
      <c r="A35" s="39" t="n">
        <v>31</v>
      </c>
      <c r="B35" s="42" t="n">
        <v>311</v>
      </c>
      <c r="C35" s="40" t="n">
        <v>46127</v>
      </c>
      <c r="D35" s="24" t="n">
        <v>1980</v>
      </c>
      <c r="E35" s="22" t="s">
        <v>86</v>
      </c>
      <c r="F35" s="41" t="s">
        <v>580</v>
      </c>
      <c r="G35" s="39" t="n">
        <v>1175</v>
      </c>
      <c r="H35" s="22" t="s">
        <v>82</v>
      </c>
      <c r="I35" s="22" t="s">
        <v>581</v>
      </c>
      <c r="J35" s="42" t="s">
        <v>521</v>
      </c>
    </row>
    <row r="36" customFormat="false" ht="15" hidden="false" customHeight="false" outlineLevel="0" collapsed="false">
      <c r="A36" s="39" t="n">
        <v>32</v>
      </c>
      <c r="B36" s="42" t="n">
        <v>323</v>
      </c>
      <c r="C36" s="40" t="n">
        <v>46127</v>
      </c>
      <c r="D36" s="24" t="n">
        <v>1810</v>
      </c>
      <c r="E36" s="22" t="s">
        <v>86</v>
      </c>
      <c r="F36" s="22" t="s">
        <v>582</v>
      </c>
      <c r="G36" s="39" t="n">
        <v>1173</v>
      </c>
      <c r="H36" s="22" t="s">
        <v>82</v>
      </c>
      <c r="I36" s="22" t="s">
        <v>583</v>
      </c>
      <c r="J36" s="42" t="s">
        <v>521</v>
      </c>
    </row>
    <row r="37" customFormat="false" ht="15" hidden="false" customHeight="false" outlineLevel="0" collapsed="false">
      <c r="A37" s="39" t="n">
        <v>33</v>
      </c>
      <c r="B37" s="42" t="n">
        <v>324</v>
      </c>
      <c r="C37" s="40" t="n">
        <v>46127</v>
      </c>
      <c r="D37" s="24" t="n">
        <v>900</v>
      </c>
      <c r="E37" s="22" t="s">
        <v>78</v>
      </c>
      <c r="F37" s="22" t="s">
        <v>584</v>
      </c>
      <c r="G37" s="39" t="n">
        <v>1176</v>
      </c>
      <c r="H37" s="22" t="s">
        <v>78</v>
      </c>
      <c r="I37" s="22" t="s">
        <v>585</v>
      </c>
      <c r="J37" s="42" t="s">
        <v>521</v>
      </c>
    </row>
    <row r="38" customFormat="false" ht="15" hidden="false" customHeight="false" outlineLevel="0" collapsed="false">
      <c r="A38" s="39" t="n">
        <v>34</v>
      </c>
      <c r="B38" s="42" t="n">
        <v>326</v>
      </c>
      <c r="C38" s="40" t="n">
        <v>46129</v>
      </c>
      <c r="D38" s="24" t="n">
        <v>2410</v>
      </c>
      <c r="E38" s="22" t="s">
        <v>82</v>
      </c>
      <c r="F38" s="41" t="s">
        <v>586</v>
      </c>
      <c r="G38" s="39" t="n">
        <v>1177</v>
      </c>
      <c r="H38" s="22" t="s">
        <v>82</v>
      </c>
      <c r="I38" s="22" t="s">
        <v>587</v>
      </c>
      <c r="J38" s="42" t="s">
        <v>521</v>
      </c>
    </row>
    <row r="39" customFormat="false" ht="15" hidden="false" customHeight="false" outlineLevel="0" collapsed="false">
      <c r="A39" s="39" t="n">
        <v>35</v>
      </c>
      <c r="B39" s="42" t="n">
        <v>338</v>
      </c>
      <c r="C39" s="40" t="n">
        <v>46130</v>
      </c>
      <c r="D39" s="24" t="n">
        <v>3310</v>
      </c>
      <c r="E39" s="22" t="s">
        <v>82</v>
      </c>
      <c r="F39" s="41" t="s">
        <v>588</v>
      </c>
      <c r="G39" s="39" t="n">
        <v>1178</v>
      </c>
      <c r="H39" s="22" t="s">
        <v>82</v>
      </c>
      <c r="I39" s="22" t="s">
        <v>589</v>
      </c>
      <c r="J39" s="42" t="s">
        <v>521</v>
      </c>
    </row>
    <row r="40" customFormat="false" ht="15" hidden="false" customHeight="false" outlineLevel="0" collapsed="false">
      <c r="A40" s="39" t="n">
        <v>36</v>
      </c>
      <c r="B40" s="42" t="n">
        <v>312</v>
      </c>
      <c r="C40" s="40" t="n">
        <v>46133</v>
      </c>
      <c r="D40" s="24" t="n">
        <v>5400</v>
      </c>
      <c r="E40" s="22" t="s">
        <v>82</v>
      </c>
      <c r="F40" s="22" t="s">
        <v>545</v>
      </c>
      <c r="G40" s="39" t="n">
        <v>1180</v>
      </c>
      <c r="H40" s="22" t="s">
        <v>82</v>
      </c>
      <c r="I40" s="22" t="s">
        <v>590</v>
      </c>
      <c r="J40" s="42" t="s">
        <v>521</v>
      </c>
    </row>
    <row r="41" customFormat="false" ht="15" hidden="false" customHeight="false" outlineLevel="0" collapsed="false">
      <c r="A41" s="39" t="n">
        <v>37</v>
      </c>
      <c r="B41" s="42" t="n">
        <v>314</v>
      </c>
      <c r="C41" s="40" t="n">
        <v>46137</v>
      </c>
      <c r="D41" s="24" t="n">
        <v>6000</v>
      </c>
      <c r="E41" s="22" t="s">
        <v>82</v>
      </c>
      <c r="F41" s="22" t="s">
        <v>591</v>
      </c>
      <c r="G41" s="39" t="n">
        <v>1183</v>
      </c>
      <c r="H41" s="22" t="s">
        <v>82</v>
      </c>
      <c r="I41" s="22" t="s">
        <v>592</v>
      </c>
      <c r="J41" s="42" t="s">
        <v>521</v>
      </c>
    </row>
    <row r="42" customFormat="false" ht="15" hidden="false" customHeight="false" outlineLevel="0" collapsed="false">
      <c r="A42" s="39" t="n">
        <v>38</v>
      </c>
      <c r="B42" s="42" t="n">
        <v>328</v>
      </c>
      <c r="C42" s="40" t="n">
        <v>46137</v>
      </c>
      <c r="D42" s="24" t="n">
        <v>702</v>
      </c>
      <c r="E42" s="22" t="s">
        <v>82</v>
      </c>
      <c r="F42" s="22" t="s">
        <v>593</v>
      </c>
      <c r="G42" s="39" t="n">
        <v>1184</v>
      </c>
      <c r="H42" s="22" t="s">
        <v>82</v>
      </c>
      <c r="I42" s="22" t="s">
        <v>594</v>
      </c>
      <c r="J42" s="42" t="s">
        <v>521</v>
      </c>
    </row>
    <row r="43" customFormat="false" ht="15" hidden="false" customHeight="false" outlineLevel="0" collapsed="false">
      <c r="A43" s="39" t="n">
        <v>39</v>
      </c>
      <c r="B43" s="42" t="n">
        <v>329</v>
      </c>
      <c r="C43" s="40" t="n">
        <v>46138</v>
      </c>
      <c r="D43" s="24" t="n">
        <v>3400</v>
      </c>
      <c r="E43" s="22" t="s">
        <v>82</v>
      </c>
      <c r="F43" s="41" t="s">
        <v>595</v>
      </c>
      <c r="G43" s="39" t="n">
        <v>1186</v>
      </c>
      <c r="H43" s="22" t="s">
        <v>82</v>
      </c>
      <c r="I43" s="22" t="s">
        <v>596</v>
      </c>
      <c r="J43" s="42" t="s">
        <v>521</v>
      </c>
    </row>
    <row r="44" customFormat="false" ht="15" hidden="false" customHeight="false" outlineLevel="0" collapsed="false">
      <c r="A44" s="39" t="n">
        <v>40</v>
      </c>
      <c r="B44" s="42" t="n">
        <v>389</v>
      </c>
      <c r="C44" s="40" t="n">
        <v>46142</v>
      </c>
      <c r="D44" s="24" t="n">
        <v>26400</v>
      </c>
      <c r="E44" s="22" t="s">
        <v>597</v>
      </c>
      <c r="F44" s="41" t="s">
        <v>598</v>
      </c>
      <c r="G44" s="39" t="n">
        <v>1189</v>
      </c>
      <c r="H44" s="22" t="s">
        <v>71</v>
      </c>
      <c r="I44" s="22" t="s">
        <v>599</v>
      </c>
      <c r="J44" s="42" t="s">
        <v>521</v>
      </c>
    </row>
    <row r="45" customFormat="false" ht="15" hidden="false" customHeight="false" outlineLevel="0" collapsed="false">
      <c r="A45" s="39" t="n">
        <v>41</v>
      </c>
      <c r="B45" s="42" t="n">
        <v>307</v>
      </c>
      <c r="C45" s="40" t="n">
        <v>46143</v>
      </c>
      <c r="D45" s="24" t="n">
        <v>3589</v>
      </c>
      <c r="E45" s="22" t="s">
        <v>204</v>
      </c>
      <c r="F45" s="41" t="s">
        <v>600</v>
      </c>
      <c r="G45" s="39" t="n">
        <v>1191</v>
      </c>
      <c r="H45" s="22" t="s">
        <v>82</v>
      </c>
      <c r="I45" s="22" t="s">
        <v>601</v>
      </c>
      <c r="J45" s="42" t="s">
        <v>521</v>
      </c>
    </row>
    <row r="46" customFormat="false" ht="15" hidden="false" customHeight="false" outlineLevel="0" collapsed="false">
      <c r="A46" s="39" t="n">
        <v>42</v>
      </c>
      <c r="B46" s="42" t="n">
        <v>335</v>
      </c>
      <c r="C46" s="40" t="n">
        <v>46144</v>
      </c>
      <c r="D46" s="24" t="n">
        <v>800</v>
      </c>
      <c r="E46" s="22" t="s">
        <v>78</v>
      </c>
      <c r="F46" s="22" t="s">
        <v>543</v>
      </c>
      <c r="G46" s="39" t="n">
        <v>1192</v>
      </c>
      <c r="H46" s="22" t="s">
        <v>78</v>
      </c>
      <c r="I46" s="22" t="s">
        <v>602</v>
      </c>
      <c r="J46" s="42" t="s">
        <v>521</v>
      </c>
    </row>
    <row r="47" customFormat="false" ht="15" hidden="false" customHeight="false" outlineLevel="0" collapsed="false">
      <c r="A47" s="39" t="n">
        <v>43</v>
      </c>
      <c r="B47" s="42" t="n">
        <v>315</v>
      </c>
      <c r="C47" s="40" t="n">
        <v>46146</v>
      </c>
      <c r="D47" s="24" t="n">
        <v>90650</v>
      </c>
      <c r="E47" s="22" t="s">
        <v>86</v>
      </c>
      <c r="F47" s="22" t="s">
        <v>603</v>
      </c>
      <c r="G47" s="39" t="n">
        <v>1193</v>
      </c>
      <c r="H47" s="22" t="s">
        <v>86</v>
      </c>
      <c r="I47" s="22" t="s">
        <v>604</v>
      </c>
      <c r="J47" s="42" t="s">
        <v>521</v>
      </c>
    </row>
    <row r="48" customFormat="false" ht="15" hidden="false" customHeight="false" outlineLevel="0" collapsed="false">
      <c r="A48" s="39" t="n">
        <v>44</v>
      </c>
      <c r="B48" s="42" t="n">
        <v>320</v>
      </c>
      <c r="C48" s="40" t="n">
        <v>46148</v>
      </c>
      <c r="D48" s="24" t="n">
        <v>800</v>
      </c>
      <c r="E48" s="22" t="s">
        <v>78</v>
      </c>
      <c r="F48" s="22" t="s">
        <v>605</v>
      </c>
      <c r="G48" s="39" t="n">
        <v>1195</v>
      </c>
      <c r="H48" s="22" t="s">
        <v>78</v>
      </c>
      <c r="I48" s="22" t="s">
        <v>606</v>
      </c>
      <c r="J48" s="42" t="s">
        <v>521</v>
      </c>
    </row>
    <row r="49" customFormat="false" ht="15" hidden="false" customHeight="false" outlineLevel="0" collapsed="false">
      <c r="A49" s="39" t="n">
        <v>45</v>
      </c>
      <c r="B49" s="42" t="n">
        <v>580</v>
      </c>
      <c r="C49" s="40" t="n">
        <v>46174</v>
      </c>
      <c r="D49" s="24" t="n">
        <v>3608</v>
      </c>
      <c r="E49" s="22" t="s">
        <v>82</v>
      </c>
      <c r="F49" s="22" t="s">
        <v>607</v>
      </c>
      <c r="G49" s="39" t="n">
        <v>1247</v>
      </c>
      <c r="H49" s="22" t="s">
        <v>82</v>
      </c>
      <c r="I49" s="22" t="s">
        <v>608</v>
      </c>
      <c r="J49" s="42" t="s">
        <v>521</v>
      </c>
    </row>
    <row r="50" customFormat="false" ht="15" hidden="false" customHeight="false" outlineLevel="0" collapsed="false">
      <c r="A50" s="39" t="n">
        <v>46</v>
      </c>
      <c r="B50" s="42" t="n">
        <v>579</v>
      </c>
      <c r="C50" s="40" t="n">
        <v>46177</v>
      </c>
      <c r="D50" s="24" t="n">
        <v>2300</v>
      </c>
      <c r="E50" s="22" t="s">
        <v>82</v>
      </c>
      <c r="F50" s="41" t="s">
        <v>609</v>
      </c>
      <c r="G50" s="39" t="n">
        <v>1251</v>
      </c>
      <c r="H50" s="22" t="s">
        <v>82</v>
      </c>
      <c r="I50" s="22" t="s">
        <v>610</v>
      </c>
      <c r="J50" s="42" t="s">
        <v>521</v>
      </c>
    </row>
    <row r="51" customFormat="false" ht="15" hidden="false" customHeight="false" outlineLevel="0" collapsed="false">
      <c r="A51" s="39" t="n">
        <v>47</v>
      </c>
      <c r="B51" s="42" t="n">
        <v>596</v>
      </c>
      <c r="C51" s="40" t="n">
        <v>46177</v>
      </c>
      <c r="D51" s="24" t="n">
        <v>495</v>
      </c>
      <c r="E51" s="22" t="s">
        <v>204</v>
      </c>
      <c r="F51" s="22" t="s">
        <v>611</v>
      </c>
      <c r="G51" s="39" t="n">
        <v>1252</v>
      </c>
      <c r="H51" s="22" t="s">
        <v>82</v>
      </c>
      <c r="I51" s="22" t="s">
        <v>612</v>
      </c>
      <c r="J51" s="42" t="s">
        <v>521</v>
      </c>
    </row>
    <row r="52" customFormat="false" ht="15" hidden="false" customHeight="false" outlineLevel="0" collapsed="false">
      <c r="A52" s="39" t="n">
        <v>48</v>
      </c>
      <c r="B52" s="42" t="n">
        <v>1075</v>
      </c>
      <c r="C52" s="40" t="n">
        <v>46265</v>
      </c>
      <c r="D52" s="24" t="n">
        <v>660</v>
      </c>
      <c r="E52" s="22" t="s">
        <v>71</v>
      </c>
      <c r="F52" s="41" t="s">
        <v>613</v>
      </c>
      <c r="G52" s="39" t="n">
        <v>1386</v>
      </c>
      <c r="H52" s="22" t="s">
        <v>614</v>
      </c>
      <c r="I52" s="22" t="s">
        <v>615</v>
      </c>
      <c r="J52" s="42" t="s">
        <v>569</v>
      </c>
    </row>
    <row r="54" customFormat="false" ht="15" hidden="false" customHeight="false" outlineLevel="0" collapsed="false">
      <c r="A54" s="46" t="s">
        <v>616</v>
      </c>
    </row>
  </sheetData>
  <autoFilter ref="A4:J52"/>
  <conditionalFormatting sqref="A5:J52">
    <cfRule type="expression" priority="2" aboveAverage="0" equalAverage="0" bottom="0" percent="0" rank="0" text="" dxfId="8">
      <formula>$J5="未削除"</formula>
    </cfRule>
    <cfRule type="expression" priority="3" aboveAverage="0" equalAverage="0" bottom="0" percent="0" rank="0" text="" dxfId="6">
      <formula>$J5="要判断"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2026-10-14T07:39:32Z</dcterms:created>
  <dc:creator>openpyxl</dc:creator>
  <dc:description/>
  <dc:language>en-US</dc:language>
  <cp:lastModifiedBy/>
  <dcterms:modified xsi:type="dcterms:W3CDTF">2026-10-14T07:39:32Z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